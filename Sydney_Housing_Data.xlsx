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ummary" sheetId="2" r:id="rId5"/>
    <sheet name="Housing Data" sheetId="3" r:id="rId6"/>
  </sheets>
</workbook>
</file>

<file path=xl/sharedStrings.xml><?xml version="1.0" encoding="utf-8"?>
<sst xmlns="http://schemas.openxmlformats.org/spreadsheetml/2006/main" uniqueCount="380">
  <si>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</si>
  <si>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</si>
  <si>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</si>
  <si>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</si>
  <si>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Summary</t>
  </si>
  <si>
    <t>Table 1</t>
  </si>
  <si>
    <t>Sydney Housing Sold-Property Dataset</t>
  </si>
  <si>
    <t>Dataset measure</t>
  </si>
  <si>
    <t>Value</t>
  </si>
  <si>
    <t>Suburb</t>
  </si>
  <si>
    <t>Records</t>
  </si>
  <si>
    <t>Average sale price</t>
  </si>
  <si>
    <t>Minimum</t>
  </si>
  <si>
    <t>Maximum</t>
  </si>
  <si>
    <t>Verified properties</t>
  </si>
  <si>
    <t>Blacktown</t>
  </si>
  <si>
    <t>Suburbs</t>
  </si>
  <si>
    <t>Liverpool</t>
  </si>
  <si>
    <t>Properties within $800k–$1.2m</t>
  </si>
  <si>
    <t>Campbelltown</t>
  </si>
  <si>
    <t>Missing land size</t>
  </si>
  <si>
    <t>Total</t>
  </si>
  <si>
    <t>Collection date</t>
  </si>
  <si>
    <t>Dataset notes</t>
  </si>
  <si>
    <t>Scope</t>
  </si>
  <si>
    <t>Recent publicly displayed sold-house listings for Blacktown, Liverpool and Campbelltown. Each row retains its direct listing and source-page URL.</t>
  </si>
  <si>
    <t>Missing values</t>
  </si>
  <si>
    <t>Blank cells mean the source listing did not publicly display that feature. Missing land size was not estimated.</t>
  </si>
  <si>
    <t>Use</t>
  </si>
  <si>
    <t>Suitable as a starting dataset for coursework exploration and model development. Recheck source pages before final submission because public listings may change.</t>
  </si>
  <si>
    <t>Primary source</t>
  </si>
  <si>
    <t>realestate.com.au sold-property pages.</t>
  </si>
  <si>
    <t>Secondary reference</t>
  </si>
  <si>
    <t>domain.com.au was supplied as an alternative property-data website; no Domain values were merged to avoid duplicate or conflicting records.</t>
  </si>
  <si>
    <t>Housing Data</t>
  </si>
  <si>
    <t>Property_ID</t>
  </si>
  <si>
    <t>Address</t>
  </si>
  <si>
    <t>State</t>
  </si>
  <si>
    <t>Postcode</t>
  </si>
  <si>
    <t>Sale_Price_AUD</t>
  </si>
  <si>
    <t>Sale_Date</t>
  </si>
  <si>
    <t>Bedrooms</t>
  </si>
  <si>
    <t>Bathrooms</t>
  </si>
  <si>
    <t>Parking_Spaces</t>
  </si>
  <si>
    <t>Land_Size_m2</t>
  </si>
  <si>
    <t>Property_Type</t>
  </si>
  <si>
    <t>Within_Budget_800k_1.2m</t>
  </si>
  <si>
    <t>Listing_URL</t>
  </si>
  <si>
    <t>Source_Page</t>
  </si>
  <si>
    <t>Source_Website</t>
  </si>
  <si>
    <t>Collected_On</t>
  </si>
  <si>
    <t>SYD-001</t>
  </si>
  <si>
    <t>40 Stephen Street, Blacktown</t>
  </si>
  <si>
    <t>NSW</t>
  </si>
  <si>
    <t>2148</t>
  </si>
  <si>
    <t>House</t>
  </si>
  <si>
    <t>No</t>
  </si>
  <si>
    <t>https://www.realestate.com.au/sold/property-house-nsw-blacktown-151437264</t>
  </si>
  <si>
    <t>https://www.realestate.com.au/sold/property-house-in-blacktown%2C%2Bnsw%2B2148/list-1</t>
  </si>
  <si>
    <t>realestate.com.au</t>
  </si>
  <si>
    <t>SYD-002</t>
  </si>
  <si>
    <t>7 Highlands Crescent, Blacktown</t>
  </si>
  <si>
    <t>Yes</t>
  </si>
  <si>
    <t>https://www.realestate.com.au/sold/property-house-nsw-blacktown-152114604</t>
  </si>
  <si>
    <t>SYD-003</t>
  </si>
  <si>
    <t>81 Reservoir Road, Blacktown</t>
  </si>
  <si>
    <t>https://www.realestate.com.au/sold/property-house-nsw-blacktown-150847848</t>
  </si>
  <si>
    <t>SYD-004</t>
  </si>
  <si>
    <t>4 &amp; 4A Joseph Street, Blacktown</t>
  </si>
  <si>
    <t>https://www.realestate.com.au/sold/property-house-nsw-blacktown-151882968</t>
  </si>
  <si>
    <t>SYD-005</t>
  </si>
  <si>
    <t>42 Burke Street, Blacktown</t>
  </si>
  <si>
    <t>https://www.realestate.com.au/sold/property-house-nsw-blacktown-151994180</t>
  </si>
  <si>
    <t>SYD-006</t>
  </si>
  <si>
    <t>52 Balmoral Street, Blacktown</t>
  </si>
  <si>
    <t>https://www.realestate.com.au/sold/property-house-nsw-blacktown-149983288</t>
  </si>
  <si>
    <t>SYD-007</t>
  </si>
  <si>
    <t>9 Kirkman Road, Blacktown</t>
  </si>
  <si>
    <t>https://www.realestate.com.au/sold/property-house-nsw-blacktown-152024064</t>
  </si>
  <si>
    <t>SYD-008</t>
  </si>
  <si>
    <t>17 Carinya Street, Blacktown</t>
  </si>
  <si>
    <t>https://www.realestate.com.au/sold/property-house-nsw-blacktown-151555988</t>
  </si>
  <si>
    <t>SYD-009</t>
  </si>
  <si>
    <t>38-38A Burrell Parade, Blacktown</t>
  </si>
  <si>
    <t>https://www.realestate.com.au/sold/property-house-nsw-blacktown-151694540</t>
  </si>
  <si>
    <t>SYD-010</t>
  </si>
  <si>
    <t>39 Burke Street, Blacktown</t>
  </si>
  <si>
    <t>https://www.realestate.com.au/sold/property-house-nsw-blacktown-151775940</t>
  </si>
  <si>
    <t>SYD-011</t>
  </si>
  <si>
    <t>19 Stephen Street, Blacktown</t>
  </si>
  <si>
    <t>https://www.realestate.com.au/sold/property-house-nsw-blacktown-152017640</t>
  </si>
  <si>
    <t>SYD-012</t>
  </si>
  <si>
    <t>130 Bungarribee Road, Blacktown</t>
  </si>
  <si>
    <t>https://www.realestate.com.au/sold/property-house-nsw-blacktown-151535008</t>
  </si>
  <si>
    <t>SYD-013</t>
  </si>
  <si>
    <t>36 Bedford Road, Blacktown</t>
  </si>
  <si>
    <t>https://www.realestate.com.au/sold/property-house-nsw-blacktown-151912132</t>
  </si>
  <si>
    <t>SYD-014</t>
  </si>
  <si>
    <t>13 Lancaster Street, Blacktown</t>
  </si>
  <si>
    <t>https://www.realestate.com.au/sold/property-house-nsw-blacktown-151888376</t>
  </si>
  <si>
    <t>SYD-015</t>
  </si>
  <si>
    <t>6 Garden Street, Blacktown</t>
  </si>
  <si>
    <t>https://www.realestate.com.au/sold/property-house-nsw-blacktown-151824544</t>
  </si>
  <si>
    <t>SYD-016</t>
  </si>
  <si>
    <t>94 Lancelot Street, Blacktown</t>
  </si>
  <si>
    <t>https://www.realestate.com.au/sold/property-house-nsw-blacktown-151814988</t>
  </si>
  <si>
    <t>SYD-017</t>
  </si>
  <si>
    <t>41 Dagmar Crescent, Blacktown</t>
  </si>
  <si>
    <t>https://www.realestate.com.au/sold/property-house-nsw-blacktown-151539124</t>
  </si>
  <si>
    <t>SYD-018</t>
  </si>
  <si>
    <t>5 Ajax Place, Blacktown</t>
  </si>
  <si>
    <t>https://www.realestate.com.au/sold/property-house-nsw-blacktown-151708676</t>
  </si>
  <si>
    <t>SYD-019</t>
  </si>
  <si>
    <t>41 Anthony Street, Blacktown</t>
  </si>
  <si>
    <t>https://www.realestate.com.au/sold/property-house-nsw-blacktown-151862164</t>
  </si>
  <si>
    <t>SYD-020</t>
  </si>
  <si>
    <t>45 &amp; 45a Dina Beth Avenue, Blacktown</t>
  </si>
  <si>
    <t>https://www.realestate.com.au/sold/property-house-nsw-blacktown-151561636</t>
  </si>
  <si>
    <t>SYD-021</t>
  </si>
  <si>
    <t>28 Eggleton Street, Blacktown</t>
  </si>
  <si>
    <t>https://www.realestate.com.au/sold/property-house-nsw-blacktown-151248672</t>
  </si>
  <si>
    <t>SYD-022</t>
  </si>
  <si>
    <t>12 Glamorgan Street, Blacktown</t>
  </si>
  <si>
    <t>https://www.realestate.com.au/sold/property-house-nsw-blacktown-151691880</t>
  </si>
  <si>
    <t>SYD-023</t>
  </si>
  <si>
    <t>41 Burrell Parade, Blacktown</t>
  </si>
  <si>
    <t>https://www.realestate.com.au/sold/property-house-nsw-blacktown-151589056</t>
  </si>
  <si>
    <t>SYD-024</t>
  </si>
  <si>
    <t>24 Twilight Crescent, Blacktown</t>
  </si>
  <si>
    <t>https://www.realestate.com.au/sold/property-house-nsw-blacktown-151497684</t>
  </si>
  <si>
    <t>SYD-025</t>
  </si>
  <si>
    <t>57 Walters Road, Blacktown</t>
  </si>
  <si>
    <t>https://www.realestate.com.au/sold/property-house-nsw-blacktown-151780948</t>
  </si>
  <si>
    <t>SYD-026</t>
  </si>
  <si>
    <t>59 Walters Road, Blacktown</t>
  </si>
  <si>
    <t>https://www.realestate.com.au/sold/property-house-nsw-blacktown-151632936</t>
  </si>
  <si>
    <t>https://www.realestate.com.au/sold/property-house-in-blacktown%2C%2Bnsw%2B2148/list-2</t>
  </si>
  <si>
    <t>SYD-027</t>
  </si>
  <si>
    <t>12 Siebel Street, Blacktown</t>
  </si>
  <si>
    <t>https://www.realestate.com.au/sold/property-house-nsw-blacktown-150980712</t>
  </si>
  <si>
    <t>SYD-028</t>
  </si>
  <si>
    <t>5 Aliberti Drive, Blacktown</t>
  </si>
  <si>
    <t>https://www.realestate.com.au/sold/property-house-nsw-blacktown-151115652</t>
  </si>
  <si>
    <t>SYD-029</t>
  </si>
  <si>
    <t>59 Lancaster Street, Blacktown</t>
  </si>
  <si>
    <t>https://www.realestate.com.au/sold/property-house-nsw-blacktown-151619392</t>
  </si>
  <si>
    <t>SYD-030</t>
  </si>
  <si>
    <t>68 Eggleton Street, Blacktown</t>
  </si>
  <si>
    <t>https://www.realestate.com.au/sold/property-house-nsw-blacktown-151309196</t>
  </si>
  <si>
    <t>SYD-031</t>
  </si>
  <si>
    <t>53 Pelleas Street, Blacktown</t>
  </si>
  <si>
    <t>https://www.realestate.com.au/sold/property-house-nsw-blacktown-151489892</t>
  </si>
  <si>
    <t>SYD-032</t>
  </si>
  <si>
    <t>28 Flyer Glade, Blacktown</t>
  </si>
  <si>
    <t>https://www.realestate.com.au/sold/property-house-nsw-blacktown-150103248</t>
  </si>
  <si>
    <t>SYD-033</t>
  </si>
  <si>
    <t>1 Tara Road, Blacktown</t>
  </si>
  <si>
    <t>https://www.realestate.com.au/sold/property-house-nsw-blacktown-151256088</t>
  </si>
  <si>
    <t>SYD-034</t>
  </si>
  <si>
    <t>9 Nicholas Street, Blacktown</t>
  </si>
  <si>
    <t>https://www.realestate.com.au/sold/property-house-nsw-blacktown-151025772</t>
  </si>
  <si>
    <t>SYD-035</t>
  </si>
  <si>
    <t>3 Bridge View Street, Blacktown</t>
  </si>
  <si>
    <t>https://www.realestate.com.au/sold/property-house-nsw-blacktown-151828512</t>
  </si>
  <si>
    <t>SYD-036</t>
  </si>
  <si>
    <t>1/15 Bairin Street, Campbelltown</t>
  </si>
  <si>
    <t>2560</t>
  </si>
  <si>
    <t>https://www.realestate.com.au/sold/property-house-nsw-campbelltown-152135028</t>
  </si>
  <si>
    <t>https://www.realestate.com.au/sold/property-house-in-campbelltown%2C%2Bnsw%2B2560/list-1</t>
  </si>
  <si>
    <t>SYD-037</t>
  </si>
  <si>
    <t>5/167 Waminda Avenue, Campbelltown</t>
  </si>
  <si>
    <t>https://www.realestate.com.au/sold/property-house-nsw-campbelltown-152165036</t>
  </si>
  <si>
    <t>SYD-038</t>
  </si>
  <si>
    <t>133 Dumaresq Street, Campbelltown</t>
  </si>
  <si>
    <t>https://www.realestate.com.au/sold/property-house-nsw-campbelltown-152025204</t>
  </si>
  <si>
    <t>SYD-039</t>
  </si>
  <si>
    <t>5B Eddington Road, Campbelltown</t>
  </si>
  <si>
    <t>https://www.realestate.com.au/sold/property-duplex+semi-detached-nsw-campbelltown-152005580</t>
  </si>
  <si>
    <t>SYD-040</t>
  </si>
  <si>
    <t>61 Macquarie Avenue, Campbelltown</t>
  </si>
  <si>
    <t>https://www.realestate.com.au/sold/property-house-nsw-campbelltown-151950084</t>
  </si>
  <si>
    <t>SYD-041</t>
  </si>
  <si>
    <t>5/32 Broughton St, Campbelltown</t>
  </si>
  <si>
    <t>https://www.realestate.com.au/sold/property-house-nsw-campbelltown-151908112</t>
  </si>
  <si>
    <t>SYD-042</t>
  </si>
  <si>
    <t>42 Hidcote Road, Campbelltown</t>
  </si>
  <si>
    <t>https://www.realestate.com.au/sold/property-terrace-nsw-campbelltown-151847644</t>
  </si>
  <si>
    <t>SYD-043</t>
  </si>
  <si>
    <t>14B Ehrlich Street, Campbelltown</t>
  </si>
  <si>
    <t>https://www.realestate.com.au/sold/property-house-nsw-campbelltown-151968608</t>
  </si>
  <si>
    <t>SYD-044</t>
  </si>
  <si>
    <t>12 Valinda Crescent, Campbelltown</t>
  </si>
  <si>
    <t>https://www.realestate.com.au/sold/property-house-nsw-campbelltown-150988460</t>
  </si>
  <si>
    <t>SYD-045</t>
  </si>
  <si>
    <t>46 and 46a Farnsworth Avenue, Campbelltown</t>
  </si>
  <si>
    <t>https://www.realestate.com.au/sold/property-house-nsw-campbelltown-151187388</t>
  </si>
  <si>
    <t>SYD-046</t>
  </si>
  <si>
    <t>88 Goldsmith Avenue, Campbelltown</t>
  </si>
  <si>
    <t>https://www.realestate.com.au/sold/property-duplex+semi-detached-nsw-campbelltown-151333612</t>
  </si>
  <si>
    <t>SYD-047</t>
  </si>
  <si>
    <t>6/105 Broughton Street, Campbelltown</t>
  </si>
  <si>
    <t>https://www.realestate.com.au/sold/property-house-nsw-campbelltown-151703832</t>
  </si>
  <si>
    <t>SYD-048</t>
  </si>
  <si>
    <t>40 Waminda Avenue, Campbelltown</t>
  </si>
  <si>
    <t>https://www.realestate.com.au/sold/property-house-nsw-campbelltown-151697272</t>
  </si>
  <si>
    <t>SYD-049</t>
  </si>
  <si>
    <t>31 Grandview Drive, Campbelltown</t>
  </si>
  <si>
    <t>https://www.realestate.com.au/sold/property-house-nsw-campbelltown-151704228</t>
  </si>
  <si>
    <t>SYD-050</t>
  </si>
  <si>
    <t>149 A Dumaresq Street, Campbelltown</t>
  </si>
  <si>
    <t>https://www.realestate.com.au/sold/property-house-nsw-campbelltown-151105468</t>
  </si>
  <si>
    <t>SYD-051</t>
  </si>
  <si>
    <t>198 Broughton Street, Campbelltown</t>
  </si>
  <si>
    <t>https://www.realestate.com.au/sold/property-house-nsw-campbelltown-150510076</t>
  </si>
  <si>
    <t>SYD-052</t>
  </si>
  <si>
    <t>48 Gilchrist Drive, Campbelltown</t>
  </si>
  <si>
    <t>https://www.realestate.com.au/sold/property-house-nsw-campbelltown-151361012</t>
  </si>
  <si>
    <t>SYD-053</t>
  </si>
  <si>
    <t>28 &amp; 28A Westview Street, Campbelltown</t>
  </si>
  <si>
    <t>https://www.realestate.com.au/sold/property-house-nsw-campbelltown-151522140</t>
  </si>
  <si>
    <t>SYD-054</t>
  </si>
  <si>
    <t>5 Lachlan Place, Campbelltown</t>
  </si>
  <si>
    <t>https://www.realestate.com.au/sold/property-house-nsw-campbelltown-151509948</t>
  </si>
  <si>
    <t>SYD-055</t>
  </si>
  <si>
    <t>61 Broughton Street, Campbelltown</t>
  </si>
  <si>
    <t>https://www.realestate.com.au/sold/property-house-nsw-campbelltown-151316120</t>
  </si>
  <si>
    <t>SYD-056</t>
  </si>
  <si>
    <t>11 Manning Street, Campbelltown</t>
  </si>
  <si>
    <t>https://www.realestate.com.au/sold/property-house-nsw-campbelltown-150914352</t>
  </si>
  <si>
    <t>SYD-057</t>
  </si>
  <si>
    <t>9 Yennora Street, Campbelltown</t>
  </si>
  <si>
    <t>https://www.realestate.com.au/sold/property-house-nsw-campbelltown-151115036</t>
  </si>
  <si>
    <t>SYD-058</t>
  </si>
  <si>
    <t>24 Poulton Terrace, Campbelltown</t>
  </si>
  <si>
    <t>https://www.realestate.com.au/sold/property-house-nsw-campbelltown-151432712</t>
  </si>
  <si>
    <t>SYD-059</t>
  </si>
  <si>
    <t>5 Dan Street, Campbelltown</t>
  </si>
  <si>
    <t>https://www.realestate.com.au/sold/property-house-nsw-campbelltown-151290264</t>
  </si>
  <si>
    <t>SYD-060</t>
  </si>
  <si>
    <t>23 Allman Street, Campbelltown</t>
  </si>
  <si>
    <t>https://www.realestate.com.au/sold/property-house-nsw-campbelltown-151225320</t>
  </si>
  <si>
    <t>SYD-061</t>
  </si>
  <si>
    <t>47 Grandview Drive, Campbelltown</t>
  </si>
  <si>
    <t>https://www.realestate.com.au/sold/property-house-nsw-campbelltown-151230532</t>
  </si>
  <si>
    <t>https://www.realestate.com.au/sold/property-house-in-campbelltown%2C%2Bnsw%2B2560/list-2</t>
  </si>
  <si>
    <t>SYD-062</t>
  </si>
  <si>
    <t>132 Waminda Avenue, Campbelltown</t>
  </si>
  <si>
    <t>https://www.realestate.com.au/sold/property-house-nsw-campbelltown-151223472</t>
  </si>
  <si>
    <t>SYD-063</t>
  </si>
  <si>
    <t>32 Oxley Street, Campbelltown</t>
  </si>
  <si>
    <t>https://www.realestate.com.au/sold/property-house-nsw-campbelltown-150953468</t>
  </si>
  <si>
    <t>SYD-064</t>
  </si>
  <si>
    <t>35 Canberra Crescent, Campbelltown</t>
  </si>
  <si>
    <t>https://www.realestate.com.au/sold/property-house-nsw-campbelltown-150848620</t>
  </si>
  <si>
    <t>SYD-065</t>
  </si>
  <si>
    <t>22 Allman Street, Campbelltown</t>
  </si>
  <si>
    <t>https://www.realestate.com.au/sold/property-house-nsw-campbelltown-150353780</t>
  </si>
  <si>
    <t>SYD-066</t>
  </si>
  <si>
    <t>3 Albury Avenue, Campbelltown</t>
  </si>
  <si>
    <t>https://www.realestate.com.au/sold/property-house-nsw-campbelltown-151042944</t>
  </si>
  <si>
    <t>SYD-067</t>
  </si>
  <si>
    <t>6 Callaway Avenue, Campbelltown</t>
  </si>
  <si>
    <t>https://www.realestate.com.au/sold/property-house-nsw-campbelltown-151027912</t>
  </si>
  <si>
    <t>SYD-068</t>
  </si>
  <si>
    <t>101/26 Parkside Crescent, Campbelltown</t>
  </si>
  <si>
    <t>https://www.realestate.com.au/sold/property-house-nsw-campbelltown-150931912</t>
  </si>
  <si>
    <t>SYD-069</t>
  </si>
  <si>
    <t>64 Macquarie Avenue, Campbelltown</t>
  </si>
  <si>
    <t>https://www.realestate.com.au/sold/property-house-nsw-campbelltown-150895716</t>
  </si>
  <si>
    <t>SYD-070</t>
  </si>
  <si>
    <t>9 Farnsworth Avenue, Campbelltown</t>
  </si>
  <si>
    <t>https://www.realestate.com.au/sold/property-house-nsw-campbelltown-150849340</t>
  </si>
  <si>
    <t>SYD-071</t>
  </si>
  <si>
    <t>3 Secant Street, Liverpool</t>
  </si>
  <si>
    <t>2170</t>
  </si>
  <si>
    <t>https://www.realestate.com.au/sold/property-house-nsw-liverpool-150588216</t>
  </si>
  <si>
    <t>https://www.realestate.com.au/sold/property-house-in-liverpool%2C%2Bnsw%2B2170/list-1</t>
  </si>
  <si>
    <t>SYD-072</t>
  </si>
  <si>
    <t>40 Maryvale Avenue, Liverpool</t>
  </si>
  <si>
    <t>https://www.realestate.com.au/sold/property-house-nsw-liverpool-152249828</t>
  </si>
  <si>
    <t>SYD-073</t>
  </si>
  <si>
    <t>41 Tully Avenue, Liverpool</t>
  </si>
  <si>
    <t>https://www.realestate.com.au/sold/property-house-nsw-liverpool-151930956</t>
  </si>
  <si>
    <t>SYD-074</t>
  </si>
  <si>
    <t>8 Angelo Avenue, Liverpool</t>
  </si>
  <si>
    <t>https://www.realestate.com.au/sold/property-house-nsw-liverpool-151905060</t>
  </si>
  <si>
    <t>SYD-075</t>
  </si>
  <si>
    <t>5/10 Christie Street, Liverpool</t>
  </si>
  <si>
    <t>https://www.realestate.com.au/sold/property-house-nsw-liverpool-151716252</t>
  </si>
  <si>
    <t>SYD-076</t>
  </si>
  <si>
    <t>45 Birkdale Crescent, Liverpool</t>
  </si>
  <si>
    <t>https://www.realestate.com.au/sold/property-house-nsw-liverpool-151515988</t>
  </si>
  <si>
    <t>SYD-077</t>
  </si>
  <si>
    <t>9 Anastasio Road, Liverpool</t>
  </si>
  <si>
    <t>https://www.realestate.com.au/sold/property-house-nsw-liverpool-151712048</t>
  </si>
  <si>
    <t>SYD-078</t>
  </si>
  <si>
    <t>1 leitz street, Liverpool</t>
  </si>
  <si>
    <t>https://www.realestate.com.au/sold/property-house-nsw-liverpool-150133964</t>
  </si>
  <si>
    <t>SYD-079</t>
  </si>
  <si>
    <t>19 Pearce Street, Liverpool</t>
  </si>
  <si>
    <t>https://www.realestate.com.au/sold/property-house-nsw-liverpool-150792248</t>
  </si>
  <si>
    <t>SYD-080</t>
  </si>
  <si>
    <t>30 Danalam Street, Liverpool</t>
  </si>
  <si>
    <t>https://www.realestate.com.au/sold/property-house-nsw-liverpool-151152668</t>
  </si>
  <si>
    <t>SYD-081</t>
  </si>
  <si>
    <t>133 Orange Grove Road, Liverpool</t>
  </si>
  <si>
    <t>https://www.realestate.com.au/sold/property-house-nsw-liverpool-151186644</t>
  </si>
  <si>
    <t>SYD-082</t>
  </si>
  <si>
    <t>701/4 Hoxton Park Road, Liverpool</t>
  </si>
  <si>
    <t>https://www.realestate.com.au/sold/property-house-nsw-liverpool-151293392</t>
  </si>
  <si>
    <t>SYD-083</t>
  </si>
  <si>
    <t>84 Medley Avenue, Liverpool</t>
  </si>
  <si>
    <t>https://www.realestate.com.au/sold/property-house-nsw-liverpool-151152788</t>
  </si>
  <si>
    <t>SYD-084</t>
  </si>
  <si>
    <t>47b Maryvale Avenue, Liverpool</t>
  </si>
  <si>
    <t>https://www.realestate.com.au/sold/property-house-nsw-liverpool-151220932</t>
  </si>
  <si>
    <t>SYD-085</t>
  </si>
  <si>
    <t>119 Atkinson Street, Liverpool</t>
  </si>
  <si>
    <t>https://www.realestate.com.au/sold/property-house-nsw-liverpool-151253084</t>
  </si>
  <si>
    <t>SYD-086</t>
  </si>
  <si>
    <t>151 Memorial Avenue, Liverpool</t>
  </si>
  <si>
    <t>https://www.realestate.com.au/sold/property-house-nsw-liverpool-150175480</t>
  </si>
  <si>
    <t>SYD-087</t>
  </si>
  <si>
    <t>32 Gill Avenue, Liverpool</t>
  </si>
  <si>
    <t>https://www.realestate.com.au/sold/property-house-nsw-liverpool-151088292</t>
  </si>
  <si>
    <t>SYD-088</t>
  </si>
  <si>
    <t>2/41 Mcgowen Crescent, Liverpool</t>
  </si>
  <si>
    <t>https://www.realestate.com.au/sold/property-house-nsw-liverpool-150960264</t>
  </si>
  <si>
    <t>SYD-089</t>
  </si>
  <si>
    <t>2/30-32 Goulburn Street, Liverpool</t>
  </si>
  <si>
    <t>https://www.realestate.com.au/sold/property-other-nsw-liverpool-151014016</t>
  </si>
  <si>
    <t>SYD-090</t>
  </si>
  <si>
    <t>608/170 Terminus Street, Liverpool</t>
  </si>
  <si>
    <t>https://www.realestate.com.au/sold/property-house-nsw-liverpool-150864608</t>
  </si>
  <si>
    <t>SYD-091</t>
  </si>
  <si>
    <t>96A Reilly Street, Liverpool</t>
  </si>
  <si>
    <t>https://www.realestate.com.au/sold/property-house-nsw-liverpool-150482228</t>
  </si>
  <si>
    <t>SYD-092</t>
  </si>
  <si>
    <t>14/14A Roslyn Street, Liverpool</t>
  </si>
  <si>
    <t>https://www.realestate.com.au/sold/property-house-nsw-liverpool-150704356</t>
  </si>
  <si>
    <t>SYD-093</t>
  </si>
  <si>
    <t>8 &amp; 8A Phillip Street, Liverpool</t>
  </si>
  <si>
    <t>https://www.realestate.com.au/sold/property-house-nsw-liverpool-150667960</t>
  </si>
  <si>
    <t>SYD-094</t>
  </si>
  <si>
    <t>41B Boundary Road, Liverpool</t>
  </si>
  <si>
    <t>https://www.realestate.com.au/sold/property-house-nsw-liverpool-150605668</t>
  </si>
  <si>
    <t>SYD-095</t>
  </si>
  <si>
    <t>11B Mclean Street, Liverpool</t>
  </si>
  <si>
    <t>https://www.realestate.com.au/sold/property-house-nsw-liverpool-150787680</t>
  </si>
  <si>
    <t>SYD-096</t>
  </si>
  <si>
    <t>10 Lehmann Avenue, Liverpool</t>
  </si>
  <si>
    <t>https://www.realestate.com.au/sold/property-house-nsw-liverpool-150280144</t>
  </si>
  <si>
    <t>https://www.realestate.com.au/sold/property-house-in-liverpool%2C%2Bnsw%2B2170/list-2</t>
  </si>
  <si>
    <t>SYD-097</t>
  </si>
  <si>
    <t>1/41 Mcgowen Crescent, Liverpool</t>
  </si>
  <si>
    <t>https://www.realestate.com.au/sold/property-house-nsw-liverpool-150260300</t>
  </si>
  <si>
    <t>SYD-098</t>
  </si>
  <si>
    <t>24 Christie Street, Liverpool</t>
  </si>
  <si>
    <t>https://www.realestate.com.au/sold/property-duplex+semi-detached-nsw-liverpool-150463488</t>
  </si>
  <si>
    <t>SYD-099</t>
  </si>
  <si>
    <t>271 Memorial Avenue, Liverpool</t>
  </si>
  <si>
    <t>https://www.realestate.com.au/sold/property-house-nsw-liverpool-150626664</t>
  </si>
  <si>
    <t>SYD-100</t>
  </si>
  <si>
    <t>24 Rose Street, Liverpool</t>
  </si>
  <si>
    <t>https://www.realestate.com.au/sold/property-house-nsw-liverpool-150453784</t>
  </si>
  <si>
    <t>SYD-101</t>
  </si>
  <si>
    <t>4 Hindmarsh Road, Liverpool</t>
  </si>
  <si>
    <t>https://www.realestate.com.au/sold/property-house-nsw-liverpool-150446492</t>
  </si>
  <si>
    <t>SYD-102</t>
  </si>
  <si>
    <t>6 Tully Avenue, Liverpool</t>
  </si>
  <si>
    <t>https://www.realestate.com.au/sold/property-house-nsw-liverpool-150543440</t>
  </si>
  <si>
    <t>SYD-103</t>
  </si>
  <si>
    <t>21 Raine Avenue, Liverpool</t>
  </si>
  <si>
    <t>https://www.realestate.com.au/sold/property-house-nsw-liverpool-150629920</t>
  </si>
  <si>
    <t>SYD-104</t>
  </si>
  <si>
    <t>5 &amp; 5A Dale Avenue, Liverpool</t>
  </si>
  <si>
    <t>https://www.realestate.com.au/sold/property-house-nsw-liverpool-150486948</t>
  </si>
  <si>
    <t>SYD-105</t>
  </si>
  <si>
    <t>4/10 Tobruk Avenue, Liverpool</t>
  </si>
  <si>
    <t>https://www.realestate.com.au/sold/property-house-nsw-liverpool-150315360</t>
  </si>
</sst>
</file>

<file path=xl/styles.xml><?xml version="1.0" encoding="utf-8"?>
<styleSheet xmlns="http://schemas.openxmlformats.org/spreadsheetml/2006/main">
  <numFmts count="4">
    <numFmt numFmtId="0" formatCode="General"/>
    <numFmt numFmtId="59" formatCode="[$$-409]#,##0"/>
    <numFmt numFmtId="60" formatCode="dd-mmm-yyyy"/>
    <numFmt numFmtId="61" formatCode="#,##0.0"/>
  </numFmts>
  <fonts count="14">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6"/>
      <color indexed="13"/>
      <name val="Arial"/>
    </font>
    <font>
      <b val="1"/>
      <sz val="10"/>
      <color indexed="14"/>
      <name val="Arial"/>
    </font>
    <font>
      <sz val="10"/>
      <color indexed="18"/>
      <name val="Arial"/>
    </font>
    <font>
      <b val="1"/>
      <sz val="10"/>
      <color indexed="18"/>
      <name val="Arial"/>
    </font>
    <font>
      <b val="1"/>
      <sz val="11"/>
      <color indexed="13"/>
      <name val="Arial"/>
    </font>
    <font>
      <b val="1"/>
      <sz val="10"/>
      <color indexed="13"/>
      <name val="Arial"/>
    </font>
    <font>
      <sz val="10"/>
      <color indexed="21"/>
      <name val="Arial"/>
    </font>
    <font>
      <sz val="9"/>
      <color indexed="24"/>
      <name val="Arial"/>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7"/>
        <bgColor auto="1"/>
      </patternFill>
    </fill>
    <fill>
      <patternFill patternType="solid">
        <fgColor indexed="19"/>
        <bgColor auto="1"/>
      </patternFill>
    </fill>
    <fill>
      <patternFill patternType="solid">
        <fgColor indexed="23"/>
        <bgColor auto="1"/>
      </patternFill>
    </fill>
  </fills>
  <borders count="4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5"/>
      </bottom>
      <diagonal/>
    </border>
    <border>
      <left/>
      <right/>
      <top/>
      <bottom style="thin">
        <color indexed="15"/>
      </bottom>
      <diagonal/>
    </border>
    <border>
      <left/>
      <right style="thin">
        <color indexed="12"/>
      </right>
      <top/>
      <bottom style="thin">
        <color indexed="15"/>
      </bottom>
      <diagonal/>
    </border>
    <border>
      <left style="thin">
        <color indexed="12"/>
      </left>
      <right/>
      <top style="thin">
        <color indexed="15"/>
      </top>
      <bottom style="thin">
        <color indexed="16"/>
      </bottom>
      <diagonal/>
    </border>
    <border>
      <left/>
      <right/>
      <top style="thin">
        <color indexed="15"/>
      </top>
      <bottom style="thin">
        <color indexed="16"/>
      </bottom>
      <diagonal/>
    </border>
    <border>
      <left/>
      <right/>
      <top style="thin">
        <color indexed="15"/>
      </top>
      <bottom/>
      <diagonal/>
    </border>
    <border>
      <left/>
      <right style="thin">
        <color indexed="12"/>
      </right>
      <top style="thin">
        <color indexed="15"/>
      </top>
      <bottom style="thin">
        <color indexed="16"/>
      </bottom>
      <diagonal/>
    </border>
    <border>
      <left style="thin">
        <color indexed="16"/>
      </left>
      <right/>
      <top style="thin">
        <color indexed="16"/>
      </top>
      <bottom/>
      <diagonal/>
    </border>
    <border>
      <left/>
      <right style="thin">
        <color indexed="16"/>
      </right>
      <top style="thin">
        <color indexed="16"/>
      </top>
      <bottom/>
      <diagonal/>
    </border>
    <border>
      <left style="thin">
        <color indexed="16"/>
      </left>
      <right style="thin">
        <color indexed="16"/>
      </right>
      <top/>
      <bottom/>
      <diagonal/>
    </border>
    <border>
      <left/>
      <right/>
      <top style="thin">
        <color indexed="16"/>
      </top>
      <bottom/>
      <diagonal/>
    </border>
    <border>
      <left style="thin">
        <color indexed="16"/>
      </left>
      <right/>
      <top/>
      <bottom/>
      <diagonal/>
    </border>
    <border>
      <left/>
      <right style="thin">
        <color indexed="16"/>
      </right>
      <top/>
      <bottom/>
      <diagonal/>
    </border>
    <border>
      <left style="thin">
        <color indexed="16"/>
      </left>
      <right/>
      <top/>
      <bottom style="thin">
        <color indexed="16"/>
      </bottom>
      <diagonal/>
    </border>
    <border>
      <left/>
      <right/>
      <top/>
      <bottom style="thin">
        <color indexed="16"/>
      </bottom>
      <diagonal/>
    </border>
    <border>
      <left/>
      <right style="thin">
        <color indexed="16"/>
      </right>
      <top/>
      <bottom style="thin">
        <color indexed="16"/>
      </bottom>
      <diagonal/>
    </border>
    <border>
      <left/>
      <right style="thin">
        <color indexed="12"/>
      </right>
      <top style="thin">
        <color indexed="16"/>
      </top>
      <bottom/>
      <diagonal/>
    </border>
    <border>
      <left style="thin">
        <color indexed="12"/>
      </left>
      <right/>
      <top style="thin">
        <color indexed="16"/>
      </top>
      <bottom/>
      <diagonal/>
    </border>
    <border>
      <left style="thin">
        <color indexed="12"/>
      </left>
      <right/>
      <top/>
      <bottom style="thin">
        <color indexed="20"/>
      </bottom>
      <diagonal/>
    </border>
    <border>
      <left/>
      <right/>
      <top/>
      <bottom style="thin">
        <color indexed="20"/>
      </bottom>
      <diagonal/>
    </border>
    <border>
      <left/>
      <right style="thin">
        <color indexed="12"/>
      </right>
      <top/>
      <bottom style="thin">
        <color indexed="20"/>
      </bottom>
      <diagonal/>
    </border>
    <border>
      <left style="thin">
        <color indexed="20"/>
      </left>
      <right/>
      <top style="thin">
        <color indexed="20"/>
      </top>
      <bottom/>
      <diagonal/>
    </border>
    <border>
      <left/>
      <right/>
      <top style="thin">
        <color indexed="20"/>
      </top>
      <bottom/>
      <diagonal/>
    </border>
    <border>
      <left/>
      <right style="thin">
        <color indexed="20"/>
      </right>
      <top style="thin">
        <color indexed="20"/>
      </top>
      <bottom/>
      <diagonal/>
    </border>
    <border>
      <left style="thin">
        <color indexed="20"/>
      </left>
      <right/>
      <top/>
      <bottom/>
      <diagonal/>
    </border>
    <border>
      <left/>
      <right style="thin">
        <color indexed="20"/>
      </right>
      <top/>
      <bottom/>
      <diagonal/>
    </border>
    <border>
      <left style="thin">
        <color indexed="20"/>
      </left>
      <right/>
      <top/>
      <bottom style="thin">
        <color indexed="20"/>
      </bottom>
      <diagonal/>
    </border>
    <border>
      <left/>
      <right style="thin">
        <color indexed="20"/>
      </right>
      <top/>
      <bottom style="thin">
        <color indexed="20"/>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12"/>
      </right>
      <top style="thin">
        <color indexed="12"/>
      </top>
      <bottom/>
      <diagonal/>
    </border>
    <border>
      <left style="thin">
        <color indexed="22"/>
      </left>
      <right style="thin">
        <color indexed="12"/>
      </right>
      <top/>
      <bottom/>
      <diagonal/>
    </border>
    <border>
      <left style="thin">
        <color indexed="12"/>
      </left>
      <right/>
      <top style="thin">
        <color indexed="22"/>
      </top>
      <bottom style="thin">
        <color indexed="12"/>
      </bottom>
      <diagonal/>
    </border>
    <border>
      <left/>
      <right/>
      <top style="thin">
        <color indexed="22"/>
      </top>
      <bottom style="thin">
        <color indexed="12"/>
      </bottom>
      <diagonal/>
    </border>
    <border>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8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fillId="4" borderId="4" applyNumberFormat="1" applyFont="1" applyFill="1" applyBorder="1" applyAlignment="1" applyProtection="0">
      <alignment vertical="center"/>
    </xf>
    <xf numFmtId="0" fontId="6" fillId="4" borderId="5" applyNumberFormat="0" applyFont="1" applyFill="1" applyBorder="1" applyAlignment="1" applyProtection="0">
      <alignment vertical="center"/>
    </xf>
    <xf numFmtId="0" fontId="6" fillId="4" borderId="6" applyNumberFormat="0" applyFont="1" applyFill="1" applyBorder="1" applyAlignment="1" applyProtection="0">
      <alignment vertical="center"/>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7" fillId="5" borderId="14" applyNumberFormat="1" applyFont="1" applyFill="1" applyBorder="1" applyAlignment="1" applyProtection="0">
      <alignment horizontal="center" vertical="bottom"/>
    </xf>
    <xf numFmtId="49" fontId="7" fillId="5" borderId="15" applyNumberFormat="1" applyFont="1" applyFill="1" applyBorder="1" applyAlignment="1" applyProtection="0">
      <alignment horizontal="center" vertical="bottom"/>
    </xf>
    <xf numFmtId="0" fontId="0" borderId="16" applyNumberFormat="0" applyFont="1" applyFill="0" applyBorder="1" applyAlignment="1" applyProtection="0">
      <alignment vertical="bottom"/>
    </xf>
    <xf numFmtId="49" fontId="7" fillId="5" borderId="17" applyNumberFormat="1" applyFont="1" applyFill="1" applyBorder="1" applyAlignment="1" applyProtection="0">
      <alignment horizontal="center" vertical="bottom"/>
    </xf>
    <xf numFmtId="49" fontId="8" borderId="18" applyNumberFormat="1" applyFont="1" applyFill="0" applyBorder="1" applyAlignment="1" applyProtection="0">
      <alignment vertical="bottom"/>
    </xf>
    <xf numFmtId="0" fontId="8" borderId="19" applyNumberFormat="1" applyFont="1" applyFill="0" applyBorder="1" applyAlignment="1" applyProtection="0">
      <alignment vertical="bottom"/>
    </xf>
    <xf numFmtId="0" fontId="8" borderId="5" applyNumberFormat="1" applyFont="1" applyFill="0" applyBorder="1" applyAlignment="1" applyProtection="0">
      <alignment vertical="bottom"/>
    </xf>
    <xf numFmtId="59" fontId="8" borderId="5" applyNumberFormat="1" applyFont="1" applyFill="0" applyBorder="1" applyAlignment="1" applyProtection="0">
      <alignment vertical="bottom"/>
    </xf>
    <xf numFmtId="59" fontId="8" borderId="19" applyNumberFormat="1" applyFont="1" applyFill="0" applyBorder="1" applyAlignment="1" applyProtection="0">
      <alignment vertical="bottom"/>
    </xf>
    <xf numFmtId="49" fontId="9" borderId="20" applyNumberFormat="1" applyFont="1" applyFill="0" applyBorder="1" applyAlignment="1" applyProtection="0">
      <alignment vertical="bottom"/>
    </xf>
    <xf numFmtId="0" fontId="9" borderId="21" applyNumberFormat="1" applyFont="1" applyFill="0" applyBorder="1" applyAlignment="1" applyProtection="0">
      <alignment vertical="bottom"/>
    </xf>
    <xf numFmtId="59" fontId="9" borderId="21" applyNumberFormat="1" applyFont="1" applyFill="0" applyBorder="1" applyAlignment="1" applyProtection="0">
      <alignment vertical="bottom"/>
    </xf>
    <xf numFmtId="59" fontId="9" borderId="22" applyNumberFormat="1" applyFont="1" applyFill="0" applyBorder="1" applyAlignment="1" applyProtection="0">
      <alignment vertical="bottom"/>
    </xf>
    <xf numFmtId="49" fontId="8" borderId="20" applyNumberFormat="1" applyFont="1" applyFill="0" applyBorder="1" applyAlignment="1" applyProtection="0">
      <alignment vertical="bottom"/>
    </xf>
    <xf numFmtId="60" fontId="8" borderId="22" applyNumberFormat="1" applyFont="1" applyFill="0" applyBorder="1" applyAlignment="1" applyProtection="0">
      <alignment vertical="bottom"/>
    </xf>
    <xf numFmtId="0" fontId="0" borderId="18"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0" fillId="6" borderId="25" applyNumberFormat="1" applyFont="1" applyFill="1" applyBorder="1" applyAlignment="1" applyProtection="0">
      <alignment vertical="bottom"/>
    </xf>
    <xf numFmtId="0" fontId="10" fillId="6" borderId="26" applyNumberFormat="0" applyFont="1" applyFill="1" applyBorder="1" applyAlignment="1" applyProtection="0">
      <alignment vertical="bottom"/>
    </xf>
    <xf numFmtId="0" fontId="10" fillId="6" borderId="27" applyNumberFormat="0" applyFont="1" applyFill="1" applyBorder="1" applyAlignment="1" applyProtection="0">
      <alignment vertical="bottom"/>
    </xf>
    <xf numFmtId="49" fontId="11" borderId="28" applyNumberFormat="1" applyFont="1" applyFill="0" applyBorder="1" applyAlignment="1" applyProtection="0">
      <alignment vertical="bottom"/>
    </xf>
    <xf numFmtId="49" fontId="12" fillId="4" borderId="29" applyNumberFormat="1" applyFont="1" applyFill="1" applyBorder="1" applyAlignment="1" applyProtection="0">
      <alignment vertical="top" wrapText="1"/>
    </xf>
    <xf numFmtId="0" fontId="12" fillId="4" borderId="29" applyNumberFormat="0" applyFont="1" applyFill="1" applyBorder="1" applyAlignment="1" applyProtection="0">
      <alignment vertical="top" wrapText="1"/>
    </xf>
    <xf numFmtId="0" fontId="12" fillId="4" borderId="30" applyNumberFormat="0" applyFont="1" applyFill="1" applyBorder="1" applyAlignment="1" applyProtection="0">
      <alignment vertical="top" wrapText="1"/>
    </xf>
    <xf numFmtId="49" fontId="11" borderId="31" applyNumberFormat="1" applyFont="1" applyFill="0" applyBorder="1" applyAlignment="1" applyProtection="0">
      <alignment vertical="bottom"/>
    </xf>
    <xf numFmtId="49" fontId="12" fillId="4" borderId="5" applyNumberFormat="1" applyFont="1" applyFill="1" applyBorder="1" applyAlignment="1" applyProtection="0">
      <alignment vertical="top" wrapText="1"/>
    </xf>
    <xf numFmtId="0" fontId="12" fillId="4" borderId="5" applyNumberFormat="0" applyFont="1" applyFill="1" applyBorder="1" applyAlignment="1" applyProtection="0">
      <alignment vertical="top" wrapText="1"/>
    </xf>
    <xf numFmtId="0" fontId="12" fillId="4" borderId="32" applyNumberFormat="0" applyFont="1" applyFill="1" applyBorder="1" applyAlignment="1" applyProtection="0">
      <alignment vertical="top" wrapText="1"/>
    </xf>
    <xf numFmtId="49" fontId="11" borderId="33" applyNumberFormat="1" applyFont="1" applyFill="0" applyBorder="1" applyAlignment="1" applyProtection="0">
      <alignment vertical="bottom"/>
    </xf>
    <xf numFmtId="49" fontId="12" fillId="4" borderId="26" applyNumberFormat="1" applyFont="1" applyFill="1" applyBorder="1" applyAlignment="1" applyProtection="0">
      <alignment vertical="top" wrapText="1"/>
    </xf>
    <xf numFmtId="0" fontId="12" fillId="4" borderId="26" applyNumberFormat="0" applyFont="1" applyFill="1" applyBorder="1" applyAlignment="1" applyProtection="0">
      <alignment vertical="top" wrapText="1"/>
    </xf>
    <xf numFmtId="0" fontId="12" fillId="4" borderId="34" applyNumberFormat="0" applyFont="1" applyFill="1" applyBorder="1" applyAlignment="1" applyProtection="0">
      <alignment vertical="top" wrapText="1"/>
    </xf>
    <xf numFmtId="0" fontId="0" applyNumberFormat="1" applyFont="1" applyFill="0" applyBorder="0" applyAlignment="1" applyProtection="0">
      <alignment vertical="bottom"/>
    </xf>
    <xf numFmtId="49" fontId="7" fillId="5" borderId="35" applyNumberFormat="1" applyFont="1" applyFill="1" applyBorder="1" applyAlignment="1" applyProtection="0">
      <alignment horizontal="center" vertical="center" wrapText="1"/>
    </xf>
    <xf numFmtId="49" fontId="7" fillId="5" borderId="36" applyNumberFormat="1" applyFont="1" applyFill="1" applyBorder="1" applyAlignment="1" applyProtection="0">
      <alignment horizontal="center" vertical="center" wrapText="1"/>
    </xf>
    <xf numFmtId="49" fontId="7" fillId="5" borderId="37" applyNumberFormat="1" applyFont="1" applyFill="1" applyBorder="1" applyAlignment="1" applyProtection="0">
      <alignment horizontal="center" vertical="center" wrapText="1"/>
    </xf>
    <xf numFmtId="0" fontId="0" borderId="38" applyNumberFormat="0" applyFont="1" applyFill="0" applyBorder="1" applyAlignment="1" applyProtection="0">
      <alignment vertical="bottom"/>
    </xf>
    <xf numFmtId="49" fontId="8" fillId="7" borderId="35" applyNumberFormat="1" applyFont="1" applyFill="1" applyBorder="1" applyAlignment="1" applyProtection="0">
      <alignment horizontal="center" vertical="center"/>
    </xf>
    <xf numFmtId="49" fontId="8" fillId="7" borderId="36" applyNumberFormat="1" applyFont="1" applyFill="1" applyBorder="1" applyAlignment="1" applyProtection="0">
      <alignment vertical="center"/>
    </xf>
    <xf numFmtId="49" fontId="8" fillId="7" borderId="36" applyNumberFormat="1" applyFont="1" applyFill="1" applyBorder="1" applyAlignment="1" applyProtection="0">
      <alignment horizontal="center" vertical="center"/>
    </xf>
    <xf numFmtId="59" fontId="8" fillId="7" borderId="36" applyNumberFormat="1" applyFont="1" applyFill="1" applyBorder="1" applyAlignment="1" applyProtection="0">
      <alignment vertical="center"/>
    </xf>
    <xf numFmtId="60" fontId="8" fillId="7" borderId="36" applyNumberFormat="1" applyFont="1" applyFill="1" applyBorder="1" applyAlignment="1" applyProtection="0">
      <alignment horizontal="center" vertical="center"/>
    </xf>
    <xf numFmtId="3" fontId="8" fillId="7" borderId="36" applyNumberFormat="1" applyFont="1" applyFill="1" applyBorder="1" applyAlignment="1" applyProtection="0">
      <alignment horizontal="center" vertical="center"/>
    </xf>
    <xf numFmtId="61" fontId="8" fillId="7" borderId="36" applyNumberFormat="1" applyFont="1" applyFill="1" applyBorder="1" applyAlignment="1" applyProtection="0">
      <alignment horizontal="center" vertical="center"/>
    </xf>
    <xf numFmtId="49" fontId="13" fillId="7" borderId="36" applyNumberFormat="1" applyFont="1" applyFill="1" applyBorder="1" applyAlignment="1" applyProtection="0">
      <alignment vertical="center"/>
    </xf>
    <xf numFmtId="60" fontId="8" fillId="7" borderId="37" applyNumberFormat="1" applyFont="1" applyFill="1" applyBorder="1" applyAlignment="1" applyProtection="0">
      <alignment vertical="center"/>
    </xf>
    <xf numFmtId="0" fontId="0" borderId="39" applyNumberFormat="0" applyFont="1" applyFill="0" applyBorder="1" applyAlignment="1" applyProtection="0">
      <alignment vertical="bottom"/>
    </xf>
    <xf numFmtId="49" fontId="8" fillId="4" borderId="35" applyNumberFormat="1" applyFont="1" applyFill="1" applyBorder="1" applyAlignment="1" applyProtection="0">
      <alignment horizontal="center" vertical="center"/>
    </xf>
    <xf numFmtId="49" fontId="8" fillId="4" borderId="36" applyNumberFormat="1" applyFont="1" applyFill="1" applyBorder="1" applyAlignment="1" applyProtection="0">
      <alignment vertical="center"/>
    </xf>
    <xf numFmtId="49" fontId="8" fillId="4" borderId="36" applyNumberFormat="1" applyFont="1" applyFill="1" applyBorder="1" applyAlignment="1" applyProtection="0">
      <alignment horizontal="center" vertical="center"/>
    </xf>
    <xf numFmtId="59" fontId="8" fillId="4" borderId="36" applyNumberFormat="1" applyFont="1" applyFill="1" applyBorder="1" applyAlignment="1" applyProtection="0">
      <alignment vertical="center"/>
    </xf>
    <xf numFmtId="60" fontId="8" fillId="4" borderId="36" applyNumberFormat="1" applyFont="1" applyFill="1" applyBorder="1" applyAlignment="1" applyProtection="0">
      <alignment horizontal="center" vertical="center"/>
    </xf>
    <xf numFmtId="3" fontId="8" fillId="4" borderId="36" applyNumberFormat="1" applyFont="1" applyFill="1" applyBorder="1" applyAlignment="1" applyProtection="0">
      <alignment horizontal="center" vertical="center"/>
    </xf>
    <xf numFmtId="61" fontId="8" fillId="4" borderId="36" applyNumberFormat="1" applyFont="1" applyFill="1" applyBorder="1" applyAlignment="1" applyProtection="0">
      <alignment horizontal="center" vertical="center"/>
    </xf>
    <xf numFmtId="49" fontId="13" fillId="4" borderId="36" applyNumberFormat="1" applyFont="1" applyFill="1" applyBorder="1" applyAlignment="1" applyProtection="0">
      <alignment vertical="center"/>
    </xf>
    <xf numFmtId="60" fontId="8" fillId="4" borderId="37" applyNumberFormat="1" applyFont="1" applyFill="1" applyBorder="1" applyAlignment="1" applyProtection="0">
      <alignment vertical="center"/>
    </xf>
    <xf numFmtId="0" fontId="0" borderId="40" applyNumberFormat="0" applyFont="1" applyFill="0" applyBorder="1" applyAlignment="1" applyProtection="0">
      <alignment vertical="bottom"/>
    </xf>
    <xf numFmtId="0" fontId="0" borderId="41" applyNumberFormat="0" applyFont="1" applyFill="0" applyBorder="1" applyAlignment="1" applyProtection="0">
      <alignment vertical="bottom"/>
    </xf>
    <xf numFmtId="0" fontId="0" borderId="4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f1f1f"/>
      <rgbColor rgb="ffffffff"/>
      <rgbColor rgb="ff5b9bd5"/>
      <rgbColor rgb="ffb4c6e7"/>
      <rgbColor rgb="ff1f4e78"/>
      <rgbColor rgb="ff222222"/>
      <rgbColor rgb="ffd9eaf7"/>
      <rgbColor rgb="ffd9e2f3"/>
      <rgbColor rgb="ff333333"/>
      <rgbColor rgb="ff729fb3"/>
      <rgbColor rgb="ffd0dfe5"/>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34</v>
      </c>
      <c r="C11" s="3"/>
      <c r="D11" s="3"/>
    </row>
    <row r="12">
      <c r="B12" s="4"/>
      <c r="C12" t="s" s="4">
        <v>5</v>
      </c>
      <c r="D12" t="s" s="5">
        <v>34</v>
      </c>
    </row>
  </sheetData>
  <mergeCells count="1">
    <mergeCell ref="B3:D3"/>
  </mergeCells>
  <hyperlinks>
    <hyperlink ref="D10" location="'Summary'!R1C1" tooltip="" display="Summary"/>
    <hyperlink ref="D12" location="'Housing Data'!R1C1" tooltip="" display="Housing Data"/>
  </hyperlinks>
</worksheet>
</file>

<file path=xl/worksheets/sheet2.xml><?xml version="1.0" encoding="utf-8"?>
<worksheet xmlns:r="http://schemas.openxmlformats.org/officeDocument/2006/relationships" xmlns="http://schemas.openxmlformats.org/spreadsheetml/2006/main">
  <dimension ref="A1:H17"/>
  <sheetViews>
    <sheetView workbookViewId="0" showGridLines="0" defaultGridColor="1"/>
  </sheetViews>
  <sheetFormatPr defaultColWidth="8.83333" defaultRowHeight="15" customHeight="1" outlineLevelRow="0" outlineLevelCol="0"/>
  <cols>
    <col min="1" max="1" width="25" style="6" customWidth="1"/>
    <col min="2" max="2" width="18" style="6" customWidth="1"/>
    <col min="3" max="3" width="3" style="6" customWidth="1"/>
    <col min="4" max="4" width="18" style="6" customWidth="1"/>
    <col min="5" max="5" width="12" style="6" customWidth="1"/>
    <col min="6" max="8" width="18" style="6" customWidth="1"/>
    <col min="9" max="16384" width="8.85156" style="6" customWidth="1"/>
  </cols>
  <sheetData>
    <row r="1" ht="13.55" customHeight="1">
      <c r="A1" s="7"/>
      <c r="B1" s="8"/>
      <c r="C1" s="8"/>
      <c r="D1" s="8"/>
      <c r="E1" s="8"/>
      <c r="F1" s="8"/>
      <c r="G1" s="8"/>
      <c r="H1" s="9"/>
    </row>
    <row r="2" ht="20.45" customHeight="1">
      <c r="A2" t="s" s="10">
        <v>6</v>
      </c>
      <c r="B2" s="11"/>
      <c r="C2" s="11"/>
      <c r="D2" s="11"/>
      <c r="E2" s="11"/>
      <c r="F2" s="11"/>
      <c r="G2" s="11"/>
      <c r="H2" s="12"/>
    </row>
    <row r="3" ht="13.55" customHeight="1">
      <c r="A3" s="13"/>
      <c r="B3" s="14"/>
      <c r="C3" s="14"/>
      <c r="D3" s="14"/>
      <c r="E3" s="14"/>
      <c r="F3" s="14"/>
      <c r="G3" s="14"/>
      <c r="H3" s="15"/>
    </row>
    <row r="4" ht="13.55" customHeight="1">
      <c r="A4" s="16"/>
      <c r="B4" s="17"/>
      <c r="C4" s="18"/>
      <c r="D4" s="17"/>
      <c r="E4" s="17"/>
      <c r="F4" s="17"/>
      <c r="G4" s="17"/>
      <c r="H4" s="19"/>
    </row>
    <row r="5" ht="13.65" customHeight="1">
      <c r="A5" t="s" s="20">
        <v>7</v>
      </c>
      <c r="B5" t="s" s="21">
        <v>8</v>
      </c>
      <c r="C5" s="22"/>
      <c r="D5" t="s" s="20">
        <v>9</v>
      </c>
      <c r="E5" t="s" s="23">
        <v>10</v>
      </c>
      <c r="F5" t="s" s="23">
        <v>11</v>
      </c>
      <c r="G5" t="s" s="23">
        <v>12</v>
      </c>
      <c r="H5" t="s" s="21">
        <v>13</v>
      </c>
    </row>
    <row r="6" ht="13.65" customHeight="1">
      <c r="A6" t="s" s="24">
        <v>14</v>
      </c>
      <c r="B6" s="25">
        <f>COUNTA('Housing Data'!A2:A106)</f>
        <v>105</v>
      </c>
      <c r="C6" s="22"/>
      <c r="D6" t="s" s="24">
        <v>15</v>
      </c>
      <c r="E6" s="26">
        <f>_xlfn.COUNTIFS('Housing Data'!C$2:C$106,D6)</f>
        <v>35</v>
      </c>
      <c r="F6" s="27">
        <f>_xlfn.AVERAGEIFS('Housing Data'!F$2:F$106,'Housing Data'!C$2:C$106,D6)</f>
        <v>1160371.42857143</v>
      </c>
      <c r="G6" s="27">
        <f>_xlfn.MINIFS('Housing Data'!F$2:F$106,'Housing Data'!C$2:C$106,D6)</f>
        <v>820000</v>
      </c>
      <c r="H6" s="28">
        <f>_xlfn.MAXIFS('Housing Data'!F$2:F$106,'Housing Data'!C$2:C$106,D6)</f>
        <v>1900000</v>
      </c>
    </row>
    <row r="7" ht="13.65" customHeight="1">
      <c r="A7" t="s" s="24">
        <v>16</v>
      </c>
      <c r="B7" s="25">
        <v>3</v>
      </c>
      <c r="C7" s="22"/>
      <c r="D7" t="s" s="24">
        <v>17</v>
      </c>
      <c r="E7" s="26">
        <f>_xlfn.COUNTIFS('Housing Data'!C$2:C$106,D7)</f>
        <v>35</v>
      </c>
      <c r="F7" s="27">
        <f>_xlfn.AVERAGEIFS('Housing Data'!F$2:F$106,'Housing Data'!C$2:C$106,D7)</f>
        <v>1225885.71428571</v>
      </c>
      <c r="G7" s="27">
        <f>_xlfn.MINIFS('Housing Data'!F$2:F$106,'Housing Data'!C$2:C$106,D7)</f>
        <v>390000</v>
      </c>
      <c r="H7" s="28">
        <f>_xlfn.MAXIFS('Housing Data'!F$2:F$106,'Housing Data'!C$2:C$106,D7)</f>
        <v>3100000</v>
      </c>
    </row>
    <row r="8" ht="13.65" customHeight="1">
      <c r="A8" t="s" s="24">
        <v>18</v>
      </c>
      <c r="B8" s="25">
        <f>_xlfn.COUNTIFS('Housing Data'!M2:M106,"Yes")</f>
        <v>66</v>
      </c>
      <c r="C8" s="22"/>
      <c r="D8" t="s" s="24">
        <v>19</v>
      </c>
      <c r="E8" s="26">
        <f>_xlfn.COUNTIFS('Housing Data'!C$2:C$106,D8)</f>
        <v>35</v>
      </c>
      <c r="F8" s="27">
        <f>_xlfn.AVERAGEIFS('Housing Data'!F$2:F$106,'Housing Data'!C$2:C$106,D8)</f>
        <v>1005387.28571429</v>
      </c>
      <c r="G8" s="27">
        <f>_xlfn.MINIFS('Housing Data'!F$2:F$106,'Housing Data'!C$2:C$106,D8)</f>
        <v>510000</v>
      </c>
      <c r="H8" s="28">
        <f>_xlfn.MAXIFS('Housing Data'!F$2:F$106,'Housing Data'!C$2:C$106,D8)</f>
        <v>1750000</v>
      </c>
    </row>
    <row r="9" ht="13.65" customHeight="1">
      <c r="A9" t="s" s="24">
        <v>20</v>
      </c>
      <c r="B9" s="25">
        <f>COUNTBLANK('Housing Data'!K2:K106)</f>
        <v>29</v>
      </c>
      <c r="C9" s="22"/>
      <c r="D9" t="s" s="29">
        <v>21</v>
      </c>
      <c r="E9" s="30">
        <f>SUM(E6:E8)</f>
        <v>105</v>
      </c>
      <c r="F9" s="31">
        <f>AVERAGE('Housing Data'!F2:F106)</f>
        <v>1130548.14285714</v>
      </c>
      <c r="G9" s="31">
        <f>MIN('Housing Data'!F2:F106)</f>
        <v>390000</v>
      </c>
      <c r="H9" s="32">
        <f>MAX('Housing Data'!F2:F106)</f>
        <v>3100000</v>
      </c>
    </row>
    <row r="10" ht="13.65" customHeight="1">
      <c r="A10" t="s" s="33">
        <v>22</v>
      </c>
      <c r="B10" s="34">
        <v>46282</v>
      </c>
      <c r="C10" s="35"/>
      <c r="D10" s="36"/>
      <c r="E10" s="36"/>
      <c r="F10" s="36"/>
      <c r="G10" s="36"/>
      <c r="H10" s="37"/>
    </row>
    <row r="11" ht="13.55" customHeight="1">
      <c r="A11" s="38"/>
      <c r="B11" s="36"/>
      <c r="C11" s="39"/>
      <c r="D11" s="39"/>
      <c r="E11" s="39"/>
      <c r="F11" s="39"/>
      <c r="G11" s="39"/>
      <c r="H11" s="40"/>
    </row>
    <row r="12" ht="14.6" customHeight="1">
      <c r="A12" t="s" s="41">
        <v>23</v>
      </c>
      <c r="B12" s="42"/>
      <c r="C12" s="42"/>
      <c r="D12" s="42"/>
      <c r="E12" s="42"/>
      <c r="F12" s="42"/>
      <c r="G12" s="42"/>
      <c r="H12" s="43"/>
    </row>
    <row r="13" ht="35" customHeight="1">
      <c r="A13" t="s" s="44">
        <v>24</v>
      </c>
      <c r="B13" t="s" s="45">
        <v>25</v>
      </c>
      <c r="C13" s="46"/>
      <c r="D13" s="46"/>
      <c r="E13" s="46"/>
      <c r="F13" s="46"/>
      <c r="G13" s="46"/>
      <c r="H13" s="47"/>
    </row>
    <row r="14" ht="35" customHeight="1">
      <c r="A14" t="s" s="48">
        <v>26</v>
      </c>
      <c r="B14" t="s" s="49">
        <v>27</v>
      </c>
      <c r="C14" s="50"/>
      <c r="D14" s="50"/>
      <c r="E14" s="50"/>
      <c r="F14" s="50"/>
      <c r="G14" s="50"/>
      <c r="H14" s="51"/>
    </row>
    <row r="15" ht="35" customHeight="1">
      <c r="A15" t="s" s="48">
        <v>28</v>
      </c>
      <c r="B15" t="s" s="49">
        <v>29</v>
      </c>
      <c r="C15" s="50"/>
      <c r="D15" s="50"/>
      <c r="E15" s="50"/>
      <c r="F15" s="50"/>
      <c r="G15" s="50"/>
      <c r="H15" s="51"/>
    </row>
    <row r="16" ht="35" customHeight="1">
      <c r="A16" t="s" s="48">
        <v>30</v>
      </c>
      <c r="B16" t="s" s="49">
        <v>31</v>
      </c>
      <c r="C16" s="50"/>
      <c r="D16" s="50"/>
      <c r="E16" s="50"/>
      <c r="F16" s="50"/>
      <c r="G16" s="50"/>
      <c r="H16" s="51"/>
    </row>
    <row r="17" ht="35" customHeight="1">
      <c r="A17" t="s" s="52">
        <v>32</v>
      </c>
      <c r="B17" t="s" s="53">
        <v>33</v>
      </c>
      <c r="C17" s="54"/>
      <c r="D17" s="54"/>
      <c r="E17" s="54"/>
      <c r="F17" s="54"/>
      <c r="G17" s="54"/>
      <c r="H17" s="55"/>
    </row>
  </sheetData>
  <mergeCells count="7">
    <mergeCell ref="A2:H2"/>
    <mergeCell ref="A12:H12"/>
    <mergeCell ref="B13:H13"/>
    <mergeCell ref="B14:H14"/>
    <mergeCell ref="B15:H15"/>
    <mergeCell ref="B16:H16"/>
    <mergeCell ref="B17:H1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R107"/>
  <sheetViews>
    <sheetView workbookViewId="0" showGridLines="0" defaultGridColor="1"/>
  </sheetViews>
  <sheetFormatPr defaultColWidth="8.83333" defaultRowHeight="15" customHeight="1" outlineLevelRow="0" outlineLevelCol="0"/>
  <cols>
    <col min="1" max="1" width="13" style="56" customWidth="1"/>
    <col min="2" max="2" width="34" style="56" customWidth="1"/>
    <col min="3" max="3" width="16" style="56" customWidth="1"/>
    <col min="4" max="4" width="6.35156" style="56" customWidth="1"/>
    <col min="5" max="5" width="9.35156" style="56" customWidth="1"/>
    <col min="6" max="6" width="17" style="56" customWidth="1"/>
    <col min="7" max="7" width="15" style="56" customWidth="1"/>
    <col min="8" max="8" width="10" style="56" customWidth="1"/>
    <col min="9" max="9" width="10.6719" style="56" customWidth="1"/>
    <col min="10" max="10" width="14.1719" style="56" customWidth="1"/>
    <col min="11" max="11" width="13" style="56" customWidth="1"/>
    <col min="12" max="12" width="19" style="56" customWidth="1"/>
    <col min="13" max="13" width="24" style="56" customWidth="1"/>
    <col min="14" max="15" width="38" style="56" customWidth="1"/>
    <col min="16" max="17" width="19" style="56" customWidth="1"/>
    <col min="18" max="18" width="8.85156" style="56" customWidth="1"/>
    <col min="19" max="16384" width="8.85156" style="56" customWidth="1"/>
  </cols>
  <sheetData>
    <row r="1" ht="13.65" customHeight="1">
      <c r="A1" t="s" s="57">
        <v>35</v>
      </c>
      <c r="B1" t="s" s="58">
        <v>36</v>
      </c>
      <c r="C1" t="s" s="58">
        <v>9</v>
      </c>
      <c r="D1" t="s" s="58">
        <v>37</v>
      </c>
      <c r="E1" t="s" s="58">
        <v>38</v>
      </c>
      <c r="F1" t="s" s="58">
        <v>39</v>
      </c>
      <c r="G1" t="s" s="58">
        <v>40</v>
      </c>
      <c r="H1" t="s" s="58">
        <v>41</v>
      </c>
      <c r="I1" t="s" s="58">
        <v>42</v>
      </c>
      <c r="J1" t="s" s="58">
        <v>43</v>
      </c>
      <c r="K1" t="s" s="58">
        <v>44</v>
      </c>
      <c r="L1" t="s" s="58">
        <v>45</v>
      </c>
      <c r="M1" t="s" s="58">
        <v>46</v>
      </c>
      <c r="N1" t="s" s="58">
        <v>47</v>
      </c>
      <c r="O1" t="s" s="58">
        <v>48</v>
      </c>
      <c r="P1" t="s" s="58">
        <v>49</v>
      </c>
      <c r="Q1" t="s" s="59">
        <v>50</v>
      </c>
      <c r="R1" s="60"/>
    </row>
    <row r="2" ht="13.65" customHeight="1">
      <c r="A2" t="s" s="61">
        <v>51</v>
      </c>
      <c r="B2" t="s" s="62">
        <v>52</v>
      </c>
      <c r="C2" t="s" s="63">
        <v>15</v>
      </c>
      <c r="D2" t="s" s="63">
        <v>53</v>
      </c>
      <c r="E2" t="s" s="63">
        <v>54</v>
      </c>
      <c r="F2" s="64">
        <v>1350000</v>
      </c>
      <c r="G2" s="65">
        <v>46282</v>
      </c>
      <c r="H2" s="66">
        <v>5</v>
      </c>
      <c r="I2" s="66">
        <v>3</v>
      </c>
      <c r="J2" s="66">
        <v>3</v>
      </c>
      <c r="K2" s="67">
        <v>338</v>
      </c>
      <c r="L2" t="s" s="63">
        <v>55</v>
      </c>
      <c r="M2" t="s" s="63">
        <f>IF(AND(F2&gt;=800000,F2&lt;=1200000),"Yes","No")</f>
        <v>56</v>
      </c>
      <c r="N2" t="s" s="68">
        <v>57</v>
      </c>
      <c r="O2" t="s" s="68">
        <v>58</v>
      </c>
      <c r="P2" t="s" s="62">
        <v>59</v>
      </c>
      <c r="Q2" s="69">
        <v>46282</v>
      </c>
      <c r="R2" s="70"/>
    </row>
    <row r="3" ht="13.65" customHeight="1">
      <c r="A3" t="s" s="71">
        <v>60</v>
      </c>
      <c r="B3" t="s" s="72">
        <v>61</v>
      </c>
      <c r="C3" t="s" s="73">
        <v>15</v>
      </c>
      <c r="D3" t="s" s="73">
        <v>53</v>
      </c>
      <c r="E3" t="s" s="73">
        <v>54</v>
      </c>
      <c r="F3" s="74">
        <v>1135000</v>
      </c>
      <c r="G3" s="75">
        <v>46280</v>
      </c>
      <c r="H3" s="76">
        <v>3</v>
      </c>
      <c r="I3" s="76">
        <v>2</v>
      </c>
      <c r="J3" s="76">
        <v>4</v>
      </c>
      <c r="K3" s="77">
        <v>765</v>
      </c>
      <c r="L3" t="s" s="73">
        <v>55</v>
      </c>
      <c r="M3" t="s" s="73">
        <f>IF(AND(F3&gt;=800000,F3&lt;=1200000),"Yes","No")</f>
        <v>62</v>
      </c>
      <c r="N3" t="s" s="78">
        <v>63</v>
      </c>
      <c r="O3" t="s" s="78">
        <v>58</v>
      </c>
      <c r="P3" t="s" s="72">
        <v>59</v>
      </c>
      <c r="Q3" s="79">
        <v>46282</v>
      </c>
      <c r="R3" s="70"/>
    </row>
    <row r="4" ht="13.65" customHeight="1">
      <c r="A4" t="s" s="61">
        <v>64</v>
      </c>
      <c r="B4" t="s" s="62">
        <v>65</v>
      </c>
      <c r="C4" t="s" s="63">
        <v>15</v>
      </c>
      <c r="D4" t="s" s="63">
        <v>53</v>
      </c>
      <c r="E4" t="s" s="63">
        <v>54</v>
      </c>
      <c r="F4" s="64">
        <v>1105000</v>
      </c>
      <c r="G4" s="65">
        <v>46280</v>
      </c>
      <c r="H4" s="66">
        <v>4</v>
      </c>
      <c r="I4" s="66">
        <v>2</v>
      </c>
      <c r="J4" s="66">
        <v>2</v>
      </c>
      <c r="K4" s="67"/>
      <c r="L4" t="s" s="63">
        <v>55</v>
      </c>
      <c r="M4" t="s" s="63">
        <f>IF(AND(F4&gt;=800000,F4&lt;=1200000),"Yes","No")</f>
        <v>62</v>
      </c>
      <c r="N4" t="s" s="68">
        <v>66</v>
      </c>
      <c r="O4" t="s" s="68">
        <v>58</v>
      </c>
      <c r="P4" t="s" s="62">
        <v>59</v>
      </c>
      <c r="Q4" s="69">
        <v>46282</v>
      </c>
      <c r="R4" s="70"/>
    </row>
    <row r="5" ht="13.65" customHeight="1">
      <c r="A5" t="s" s="71">
        <v>67</v>
      </c>
      <c r="B5" t="s" s="72">
        <v>68</v>
      </c>
      <c r="C5" t="s" s="73">
        <v>15</v>
      </c>
      <c r="D5" t="s" s="73">
        <v>53</v>
      </c>
      <c r="E5" t="s" s="73">
        <v>54</v>
      </c>
      <c r="F5" s="74">
        <v>1340000</v>
      </c>
      <c r="G5" s="75">
        <v>46279</v>
      </c>
      <c r="H5" s="76">
        <v>5</v>
      </c>
      <c r="I5" s="76">
        <v>2</v>
      </c>
      <c r="J5" s="76">
        <v>1</v>
      </c>
      <c r="K5" s="77">
        <v>713</v>
      </c>
      <c r="L5" t="s" s="73">
        <v>55</v>
      </c>
      <c r="M5" t="s" s="73">
        <f>IF(AND(F5&gt;=800000,F5&lt;=1200000),"Yes","No")</f>
        <v>56</v>
      </c>
      <c r="N5" t="s" s="78">
        <v>69</v>
      </c>
      <c r="O5" t="s" s="78">
        <v>58</v>
      </c>
      <c r="P5" t="s" s="72">
        <v>59</v>
      </c>
      <c r="Q5" s="79">
        <v>46282</v>
      </c>
      <c r="R5" s="70"/>
    </row>
    <row r="6" ht="13.65" customHeight="1">
      <c r="A6" t="s" s="61">
        <v>70</v>
      </c>
      <c r="B6" t="s" s="62">
        <v>71</v>
      </c>
      <c r="C6" t="s" s="63">
        <v>15</v>
      </c>
      <c r="D6" t="s" s="63">
        <v>53</v>
      </c>
      <c r="E6" t="s" s="63">
        <v>54</v>
      </c>
      <c r="F6" s="64">
        <v>1260000</v>
      </c>
      <c r="G6" s="65">
        <v>46276</v>
      </c>
      <c r="H6" s="66">
        <v>5</v>
      </c>
      <c r="I6" s="66">
        <v>3</v>
      </c>
      <c r="J6" s="66">
        <v>6</v>
      </c>
      <c r="K6" s="67"/>
      <c r="L6" t="s" s="63">
        <v>55</v>
      </c>
      <c r="M6" t="s" s="63">
        <f>IF(AND(F6&gt;=800000,F6&lt;=1200000),"Yes","No")</f>
        <v>56</v>
      </c>
      <c r="N6" t="s" s="68">
        <v>72</v>
      </c>
      <c r="O6" t="s" s="68">
        <v>58</v>
      </c>
      <c r="P6" t="s" s="62">
        <v>59</v>
      </c>
      <c r="Q6" s="69">
        <v>46282</v>
      </c>
      <c r="R6" s="70"/>
    </row>
    <row r="7" ht="13.65" customHeight="1">
      <c r="A7" t="s" s="71">
        <v>73</v>
      </c>
      <c r="B7" t="s" s="72">
        <v>74</v>
      </c>
      <c r="C7" t="s" s="73">
        <v>15</v>
      </c>
      <c r="D7" t="s" s="73">
        <v>53</v>
      </c>
      <c r="E7" t="s" s="73">
        <v>54</v>
      </c>
      <c r="F7" s="74">
        <v>1300000</v>
      </c>
      <c r="G7" s="75">
        <v>46273</v>
      </c>
      <c r="H7" s="76">
        <v>4</v>
      </c>
      <c r="I7" s="76">
        <v>1</v>
      </c>
      <c r="J7" s="76">
        <v>1</v>
      </c>
      <c r="K7" s="77">
        <v>696.77</v>
      </c>
      <c r="L7" t="s" s="73">
        <v>55</v>
      </c>
      <c r="M7" t="s" s="73">
        <f>IF(AND(F7&gt;=800000,F7&lt;=1200000),"Yes","No")</f>
        <v>56</v>
      </c>
      <c r="N7" t="s" s="78">
        <v>75</v>
      </c>
      <c r="O7" t="s" s="78">
        <v>58</v>
      </c>
      <c r="P7" t="s" s="72">
        <v>59</v>
      </c>
      <c r="Q7" s="79">
        <v>46282</v>
      </c>
      <c r="R7" s="70"/>
    </row>
    <row r="8" ht="13.65" customHeight="1">
      <c r="A8" t="s" s="61">
        <v>76</v>
      </c>
      <c r="B8" t="s" s="62">
        <v>77</v>
      </c>
      <c r="C8" t="s" s="63">
        <v>15</v>
      </c>
      <c r="D8" t="s" s="63">
        <v>53</v>
      </c>
      <c r="E8" t="s" s="63">
        <v>54</v>
      </c>
      <c r="F8" s="64">
        <v>1070000</v>
      </c>
      <c r="G8" s="65">
        <v>46268</v>
      </c>
      <c r="H8" s="66">
        <v>4</v>
      </c>
      <c r="I8" s="66">
        <v>1</v>
      </c>
      <c r="J8" s="66">
        <v>2</v>
      </c>
      <c r="K8" s="67">
        <v>638</v>
      </c>
      <c r="L8" t="s" s="63">
        <v>55</v>
      </c>
      <c r="M8" t="s" s="63">
        <f>IF(AND(F8&gt;=800000,F8&lt;=1200000),"Yes","No")</f>
        <v>62</v>
      </c>
      <c r="N8" t="s" s="68">
        <v>78</v>
      </c>
      <c r="O8" t="s" s="68">
        <v>58</v>
      </c>
      <c r="P8" t="s" s="62">
        <v>59</v>
      </c>
      <c r="Q8" s="69">
        <v>46282</v>
      </c>
      <c r="R8" s="70"/>
    </row>
    <row r="9" ht="13.65" customHeight="1">
      <c r="A9" t="s" s="71">
        <v>79</v>
      </c>
      <c r="B9" t="s" s="72">
        <v>80</v>
      </c>
      <c r="C9" t="s" s="73">
        <v>15</v>
      </c>
      <c r="D9" t="s" s="73">
        <v>53</v>
      </c>
      <c r="E9" t="s" s="73">
        <v>54</v>
      </c>
      <c r="F9" s="74">
        <v>1600000</v>
      </c>
      <c r="G9" s="75">
        <v>46266</v>
      </c>
      <c r="H9" s="76">
        <v>3</v>
      </c>
      <c r="I9" s="76">
        <v>1</v>
      </c>
      <c r="J9" s="76">
        <v>1</v>
      </c>
      <c r="K9" s="77">
        <v>1182.4</v>
      </c>
      <c r="L9" t="s" s="73">
        <v>55</v>
      </c>
      <c r="M9" t="s" s="73">
        <f>IF(AND(F9&gt;=800000,F9&lt;=1200000),"Yes","No")</f>
        <v>56</v>
      </c>
      <c r="N9" t="s" s="78">
        <v>81</v>
      </c>
      <c r="O9" t="s" s="78">
        <v>58</v>
      </c>
      <c r="P9" t="s" s="72">
        <v>59</v>
      </c>
      <c r="Q9" s="79">
        <v>46282</v>
      </c>
      <c r="R9" s="70"/>
    </row>
    <row r="10" ht="13.65" customHeight="1">
      <c r="A10" t="s" s="61">
        <v>82</v>
      </c>
      <c r="B10" t="s" s="62">
        <v>83</v>
      </c>
      <c r="C10" t="s" s="63">
        <v>15</v>
      </c>
      <c r="D10" t="s" s="63">
        <v>53</v>
      </c>
      <c r="E10" t="s" s="63">
        <v>54</v>
      </c>
      <c r="F10" s="64">
        <v>1480000</v>
      </c>
      <c r="G10" s="65">
        <v>46262</v>
      </c>
      <c r="H10" s="66">
        <v>5</v>
      </c>
      <c r="I10" s="66">
        <v>3</v>
      </c>
      <c r="J10" s="66">
        <v>4</v>
      </c>
      <c r="K10" s="67">
        <v>563</v>
      </c>
      <c r="L10" t="s" s="63">
        <v>55</v>
      </c>
      <c r="M10" t="s" s="63">
        <f>IF(AND(F10&gt;=800000,F10&lt;=1200000),"Yes","No")</f>
        <v>56</v>
      </c>
      <c r="N10" t="s" s="68">
        <v>84</v>
      </c>
      <c r="O10" t="s" s="68">
        <v>58</v>
      </c>
      <c r="P10" t="s" s="62">
        <v>59</v>
      </c>
      <c r="Q10" s="69">
        <v>46282</v>
      </c>
      <c r="R10" s="70"/>
    </row>
    <row r="11" ht="13.65" customHeight="1">
      <c r="A11" t="s" s="71">
        <v>85</v>
      </c>
      <c r="B11" t="s" s="72">
        <v>86</v>
      </c>
      <c r="C11" t="s" s="73">
        <v>15</v>
      </c>
      <c r="D11" t="s" s="73">
        <v>53</v>
      </c>
      <c r="E11" t="s" s="73">
        <v>54</v>
      </c>
      <c r="F11" s="74">
        <v>1500000</v>
      </c>
      <c r="G11" s="75">
        <v>46260</v>
      </c>
      <c r="H11" s="76">
        <v>5</v>
      </c>
      <c r="I11" s="76">
        <v>3</v>
      </c>
      <c r="J11" s="76">
        <v>2</v>
      </c>
      <c r="K11" s="77"/>
      <c r="L11" t="s" s="73">
        <v>55</v>
      </c>
      <c r="M11" t="s" s="73">
        <f>IF(AND(F11&gt;=800000,F11&lt;=1200000),"Yes","No")</f>
        <v>56</v>
      </c>
      <c r="N11" t="s" s="78">
        <v>87</v>
      </c>
      <c r="O11" t="s" s="78">
        <v>58</v>
      </c>
      <c r="P11" t="s" s="72">
        <v>59</v>
      </c>
      <c r="Q11" s="79">
        <v>46282</v>
      </c>
      <c r="R11" s="70"/>
    </row>
    <row r="12" ht="13.65" customHeight="1">
      <c r="A12" t="s" s="61">
        <v>88</v>
      </c>
      <c r="B12" t="s" s="62">
        <v>89</v>
      </c>
      <c r="C12" t="s" s="63">
        <v>15</v>
      </c>
      <c r="D12" t="s" s="63">
        <v>53</v>
      </c>
      <c r="E12" t="s" s="63">
        <v>54</v>
      </c>
      <c r="F12" s="64">
        <v>1062500</v>
      </c>
      <c r="G12" s="65">
        <v>46260</v>
      </c>
      <c r="H12" s="66">
        <v>3</v>
      </c>
      <c r="I12" s="66">
        <v>1</v>
      </c>
      <c r="J12" s="66">
        <v>1</v>
      </c>
      <c r="K12" s="67">
        <v>575.4</v>
      </c>
      <c r="L12" t="s" s="63">
        <v>55</v>
      </c>
      <c r="M12" t="s" s="63">
        <f>IF(AND(F12&gt;=800000,F12&lt;=1200000),"Yes","No")</f>
        <v>62</v>
      </c>
      <c r="N12" t="s" s="68">
        <v>90</v>
      </c>
      <c r="O12" t="s" s="68">
        <v>58</v>
      </c>
      <c r="P12" t="s" s="62">
        <v>59</v>
      </c>
      <c r="Q12" s="69">
        <v>46282</v>
      </c>
      <c r="R12" s="70"/>
    </row>
    <row r="13" ht="13.65" customHeight="1">
      <c r="A13" t="s" s="71">
        <v>91</v>
      </c>
      <c r="B13" t="s" s="72">
        <v>92</v>
      </c>
      <c r="C13" t="s" s="73">
        <v>15</v>
      </c>
      <c r="D13" t="s" s="73">
        <v>53</v>
      </c>
      <c r="E13" t="s" s="73">
        <v>54</v>
      </c>
      <c r="F13" s="74">
        <v>1150000</v>
      </c>
      <c r="G13" s="75">
        <v>46258</v>
      </c>
      <c r="H13" s="76">
        <v>3</v>
      </c>
      <c r="I13" s="76">
        <v>1</v>
      </c>
      <c r="J13" s="76">
        <v>1</v>
      </c>
      <c r="K13" s="77">
        <v>670</v>
      </c>
      <c r="L13" t="s" s="73">
        <v>55</v>
      </c>
      <c r="M13" t="s" s="73">
        <f>IF(AND(F13&gt;=800000,F13&lt;=1200000),"Yes","No")</f>
        <v>62</v>
      </c>
      <c r="N13" t="s" s="78">
        <v>93</v>
      </c>
      <c r="O13" t="s" s="78">
        <v>58</v>
      </c>
      <c r="P13" t="s" s="72">
        <v>59</v>
      </c>
      <c r="Q13" s="79">
        <v>46282</v>
      </c>
      <c r="R13" s="70"/>
    </row>
    <row r="14" ht="13.65" customHeight="1">
      <c r="A14" t="s" s="61">
        <v>94</v>
      </c>
      <c r="B14" t="s" s="62">
        <v>95</v>
      </c>
      <c r="C14" t="s" s="63">
        <v>15</v>
      </c>
      <c r="D14" t="s" s="63">
        <v>53</v>
      </c>
      <c r="E14" t="s" s="63">
        <v>54</v>
      </c>
      <c r="F14" s="64">
        <v>1007500</v>
      </c>
      <c r="G14" s="65">
        <v>46258</v>
      </c>
      <c r="H14" s="66">
        <v>3</v>
      </c>
      <c r="I14" s="66">
        <v>2</v>
      </c>
      <c r="J14" s="66">
        <v>4</v>
      </c>
      <c r="K14" s="67">
        <v>651</v>
      </c>
      <c r="L14" t="s" s="63">
        <v>55</v>
      </c>
      <c r="M14" t="s" s="63">
        <f>IF(AND(F14&gt;=800000,F14&lt;=1200000),"Yes","No")</f>
        <v>62</v>
      </c>
      <c r="N14" t="s" s="68">
        <v>96</v>
      </c>
      <c r="O14" t="s" s="68">
        <v>58</v>
      </c>
      <c r="P14" t="s" s="62">
        <v>59</v>
      </c>
      <c r="Q14" s="69">
        <v>46282</v>
      </c>
      <c r="R14" s="70"/>
    </row>
    <row r="15" ht="13.65" customHeight="1">
      <c r="A15" t="s" s="71">
        <v>97</v>
      </c>
      <c r="B15" t="s" s="72">
        <v>98</v>
      </c>
      <c r="C15" t="s" s="73">
        <v>15</v>
      </c>
      <c r="D15" t="s" s="73">
        <v>53</v>
      </c>
      <c r="E15" t="s" s="73">
        <v>54</v>
      </c>
      <c r="F15" s="74">
        <v>1900000</v>
      </c>
      <c r="G15" s="75">
        <v>46256</v>
      </c>
      <c r="H15" s="76">
        <v>7</v>
      </c>
      <c r="I15" s="76">
        <v>4</v>
      </c>
      <c r="J15" s="76">
        <v>6</v>
      </c>
      <c r="K15" s="77">
        <v>739.8</v>
      </c>
      <c r="L15" t="s" s="73">
        <v>55</v>
      </c>
      <c r="M15" t="s" s="73">
        <f>IF(AND(F15&gt;=800000,F15&lt;=1200000),"Yes","No")</f>
        <v>56</v>
      </c>
      <c r="N15" t="s" s="78">
        <v>99</v>
      </c>
      <c r="O15" t="s" s="78">
        <v>58</v>
      </c>
      <c r="P15" t="s" s="72">
        <v>59</v>
      </c>
      <c r="Q15" s="79">
        <v>46282</v>
      </c>
      <c r="R15" s="70"/>
    </row>
    <row r="16" ht="13.65" customHeight="1">
      <c r="A16" t="s" s="61">
        <v>100</v>
      </c>
      <c r="B16" t="s" s="62">
        <v>101</v>
      </c>
      <c r="C16" t="s" s="63">
        <v>15</v>
      </c>
      <c r="D16" t="s" s="63">
        <v>53</v>
      </c>
      <c r="E16" t="s" s="63">
        <v>54</v>
      </c>
      <c r="F16" s="64">
        <v>1235000</v>
      </c>
      <c r="G16" s="65">
        <v>46254</v>
      </c>
      <c r="H16" s="66">
        <v>4</v>
      </c>
      <c r="I16" s="66">
        <v>2</v>
      </c>
      <c r="J16" s="66">
        <v>6</v>
      </c>
      <c r="K16" s="67">
        <v>556</v>
      </c>
      <c r="L16" t="s" s="63">
        <v>55</v>
      </c>
      <c r="M16" t="s" s="63">
        <f>IF(AND(F16&gt;=800000,F16&lt;=1200000),"Yes","No")</f>
        <v>56</v>
      </c>
      <c r="N16" t="s" s="68">
        <v>102</v>
      </c>
      <c r="O16" t="s" s="68">
        <v>58</v>
      </c>
      <c r="P16" t="s" s="62">
        <v>59</v>
      </c>
      <c r="Q16" s="69">
        <v>46282</v>
      </c>
      <c r="R16" s="70"/>
    </row>
    <row r="17" ht="13.65" customHeight="1">
      <c r="A17" t="s" s="71">
        <v>103</v>
      </c>
      <c r="B17" t="s" s="72">
        <v>104</v>
      </c>
      <c r="C17" t="s" s="73">
        <v>15</v>
      </c>
      <c r="D17" t="s" s="73">
        <v>53</v>
      </c>
      <c r="E17" t="s" s="73">
        <v>54</v>
      </c>
      <c r="F17" s="74">
        <v>950000</v>
      </c>
      <c r="G17" s="75">
        <v>46252</v>
      </c>
      <c r="H17" s="76">
        <v>3</v>
      </c>
      <c r="I17" s="76">
        <v>1</v>
      </c>
      <c r="J17" s="76">
        <v>1</v>
      </c>
      <c r="K17" s="77">
        <v>562.7</v>
      </c>
      <c r="L17" t="s" s="73">
        <v>55</v>
      </c>
      <c r="M17" t="s" s="73">
        <f>IF(AND(F17&gt;=800000,F17&lt;=1200000),"Yes","No")</f>
        <v>62</v>
      </c>
      <c r="N17" t="s" s="78">
        <v>105</v>
      </c>
      <c r="O17" t="s" s="78">
        <v>58</v>
      </c>
      <c r="P17" t="s" s="72">
        <v>59</v>
      </c>
      <c r="Q17" s="79">
        <v>46282</v>
      </c>
      <c r="R17" s="70"/>
    </row>
    <row r="18" ht="13.65" customHeight="1">
      <c r="A18" t="s" s="61">
        <v>106</v>
      </c>
      <c r="B18" t="s" s="62">
        <v>107</v>
      </c>
      <c r="C18" t="s" s="63">
        <v>15</v>
      </c>
      <c r="D18" t="s" s="63">
        <v>53</v>
      </c>
      <c r="E18" t="s" s="63">
        <v>54</v>
      </c>
      <c r="F18" s="64">
        <v>880000</v>
      </c>
      <c r="G18" s="65">
        <v>46252</v>
      </c>
      <c r="H18" s="66">
        <v>3</v>
      </c>
      <c r="I18" s="66">
        <v>1</v>
      </c>
      <c r="J18" s="66">
        <v>2</v>
      </c>
      <c r="K18" s="67">
        <v>569.1</v>
      </c>
      <c r="L18" t="s" s="63">
        <v>55</v>
      </c>
      <c r="M18" t="s" s="63">
        <f>IF(AND(F18&gt;=800000,F18&lt;=1200000),"Yes","No")</f>
        <v>62</v>
      </c>
      <c r="N18" t="s" s="68">
        <v>108</v>
      </c>
      <c r="O18" t="s" s="68">
        <v>58</v>
      </c>
      <c r="P18" t="s" s="62">
        <v>59</v>
      </c>
      <c r="Q18" s="69">
        <v>46282</v>
      </c>
      <c r="R18" s="70"/>
    </row>
    <row r="19" ht="13.65" customHeight="1">
      <c r="A19" t="s" s="71">
        <v>109</v>
      </c>
      <c r="B19" t="s" s="72">
        <v>110</v>
      </c>
      <c r="C19" t="s" s="73">
        <v>15</v>
      </c>
      <c r="D19" t="s" s="73">
        <v>53</v>
      </c>
      <c r="E19" t="s" s="73">
        <v>54</v>
      </c>
      <c r="F19" s="74">
        <v>1000000</v>
      </c>
      <c r="G19" s="75">
        <v>46251</v>
      </c>
      <c r="H19" s="76">
        <v>3</v>
      </c>
      <c r="I19" s="76">
        <v>2</v>
      </c>
      <c r="J19" s="76">
        <v>2</v>
      </c>
      <c r="K19" s="77"/>
      <c r="L19" t="s" s="73">
        <v>55</v>
      </c>
      <c r="M19" t="s" s="73">
        <f>IF(AND(F19&gt;=800000,F19&lt;=1200000),"Yes","No")</f>
        <v>62</v>
      </c>
      <c r="N19" t="s" s="78">
        <v>111</v>
      </c>
      <c r="O19" t="s" s="78">
        <v>58</v>
      </c>
      <c r="P19" t="s" s="72">
        <v>59</v>
      </c>
      <c r="Q19" s="79">
        <v>46282</v>
      </c>
      <c r="R19" s="70"/>
    </row>
    <row r="20" ht="13.65" customHeight="1">
      <c r="A20" t="s" s="61">
        <v>112</v>
      </c>
      <c r="B20" t="s" s="62">
        <v>113</v>
      </c>
      <c r="C20" t="s" s="63">
        <v>15</v>
      </c>
      <c r="D20" t="s" s="63">
        <v>53</v>
      </c>
      <c r="E20" t="s" s="63">
        <v>54</v>
      </c>
      <c r="F20" s="64">
        <v>910000</v>
      </c>
      <c r="G20" s="65">
        <v>46251</v>
      </c>
      <c r="H20" s="66">
        <v>3</v>
      </c>
      <c r="I20" s="66">
        <v>1</v>
      </c>
      <c r="J20" s="66">
        <v>1</v>
      </c>
      <c r="K20" s="67"/>
      <c r="L20" t="s" s="63">
        <v>55</v>
      </c>
      <c r="M20" t="s" s="63">
        <f>IF(AND(F20&gt;=800000,F20&lt;=1200000),"Yes","No")</f>
        <v>62</v>
      </c>
      <c r="N20" t="s" s="68">
        <v>114</v>
      </c>
      <c r="O20" t="s" s="68">
        <v>58</v>
      </c>
      <c r="P20" t="s" s="62">
        <v>59</v>
      </c>
      <c r="Q20" s="69">
        <v>46282</v>
      </c>
      <c r="R20" s="70"/>
    </row>
    <row r="21" ht="13.65" customHeight="1">
      <c r="A21" t="s" s="71">
        <v>115</v>
      </c>
      <c r="B21" t="s" s="72">
        <v>116</v>
      </c>
      <c r="C21" t="s" s="73">
        <v>15</v>
      </c>
      <c r="D21" t="s" s="73">
        <v>53</v>
      </c>
      <c r="E21" t="s" s="73">
        <v>54</v>
      </c>
      <c r="F21" s="74">
        <v>1250000</v>
      </c>
      <c r="G21" s="75">
        <v>46248</v>
      </c>
      <c r="H21" s="76">
        <v>5</v>
      </c>
      <c r="I21" s="76">
        <v>2</v>
      </c>
      <c r="J21" s="76">
        <v>4</v>
      </c>
      <c r="K21" s="77"/>
      <c r="L21" t="s" s="73">
        <v>55</v>
      </c>
      <c r="M21" t="s" s="73">
        <f>IF(AND(F21&gt;=800000,F21&lt;=1200000),"Yes","No")</f>
        <v>56</v>
      </c>
      <c r="N21" t="s" s="78">
        <v>117</v>
      </c>
      <c r="O21" t="s" s="78">
        <v>58</v>
      </c>
      <c r="P21" t="s" s="72">
        <v>59</v>
      </c>
      <c r="Q21" s="79">
        <v>46282</v>
      </c>
      <c r="R21" s="70"/>
    </row>
    <row r="22" ht="13.65" customHeight="1">
      <c r="A22" t="s" s="61">
        <v>118</v>
      </c>
      <c r="B22" t="s" s="62">
        <v>119</v>
      </c>
      <c r="C22" t="s" s="63">
        <v>15</v>
      </c>
      <c r="D22" t="s" s="63">
        <v>53</v>
      </c>
      <c r="E22" t="s" s="63">
        <v>54</v>
      </c>
      <c r="F22" s="64">
        <v>1263000</v>
      </c>
      <c r="G22" s="65">
        <v>46247</v>
      </c>
      <c r="H22" s="66">
        <v>3</v>
      </c>
      <c r="I22" s="66">
        <v>1</v>
      </c>
      <c r="J22" s="66">
        <v>2</v>
      </c>
      <c r="K22" s="67"/>
      <c r="L22" t="s" s="63">
        <v>55</v>
      </c>
      <c r="M22" t="s" s="63">
        <f>IF(AND(F22&gt;=800000,F22&lt;=1200000),"Yes","No")</f>
        <v>56</v>
      </c>
      <c r="N22" t="s" s="68">
        <v>120</v>
      </c>
      <c r="O22" t="s" s="68">
        <v>58</v>
      </c>
      <c r="P22" t="s" s="62">
        <v>59</v>
      </c>
      <c r="Q22" s="69">
        <v>46282</v>
      </c>
      <c r="R22" s="70"/>
    </row>
    <row r="23" ht="13.65" customHeight="1">
      <c r="A23" t="s" s="71">
        <v>121</v>
      </c>
      <c r="B23" t="s" s="72">
        <v>122</v>
      </c>
      <c r="C23" t="s" s="73">
        <v>15</v>
      </c>
      <c r="D23" t="s" s="73">
        <v>53</v>
      </c>
      <c r="E23" t="s" s="73">
        <v>54</v>
      </c>
      <c r="F23" s="74">
        <v>1030000</v>
      </c>
      <c r="G23" s="75">
        <v>46245</v>
      </c>
      <c r="H23" s="76">
        <v>3</v>
      </c>
      <c r="I23" s="76">
        <v>1</v>
      </c>
      <c r="J23" s="76">
        <v>1</v>
      </c>
      <c r="K23" s="77">
        <v>556</v>
      </c>
      <c r="L23" t="s" s="73">
        <v>55</v>
      </c>
      <c r="M23" t="s" s="73">
        <f>IF(AND(F23&gt;=800000,F23&lt;=1200000),"Yes","No")</f>
        <v>62</v>
      </c>
      <c r="N23" t="s" s="78">
        <v>123</v>
      </c>
      <c r="O23" t="s" s="78">
        <v>58</v>
      </c>
      <c r="P23" t="s" s="72">
        <v>59</v>
      </c>
      <c r="Q23" s="79">
        <v>46282</v>
      </c>
      <c r="R23" s="70"/>
    </row>
    <row r="24" ht="13.65" customHeight="1">
      <c r="A24" t="s" s="61">
        <v>124</v>
      </c>
      <c r="B24" t="s" s="62">
        <v>125</v>
      </c>
      <c r="C24" t="s" s="63">
        <v>15</v>
      </c>
      <c r="D24" t="s" s="63">
        <v>53</v>
      </c>
      <c r="E24" t="s" s="63">
        <v>54</v>
      </c>
      <c r="F24" s="64">
        <v>960000</v>
      </c>
      <c r="G24" s="65">
        <v>46245</v>
      </c>
      <c r="H24" s="66">
        <v>3</v>
      </c>
      <c r="I24" s="66">
        <v>1</v>
      </c>
      <c r="J24" s="66">
        <v>2</v>
      </c>
      <c r="K24" s="67">
        <v>556</v>
      </c>
      <c r="L24" t="s" s="63">
        <v>55</v>
      </c>
      <c r="M24" t="s" s="63">
        <f>IF(AND(F24&gt;=800000,F24&lt;=1200000),"Yes","No")</f>
        <v>62</v>
      </c>
      <c r="N24" t="s" s="68">
        <v>126</v>
      </c>
      <c r="O24" t="s" s="68">
        <v>58</v>
      </c>
      <c r="P24" t="s" s="62">
        <v>59</v>
      </c>
      <c r="Q24" s="69">
        <v>46282</v>
      </c>
      <c r="R24" s="70"/>
    </row>
    <row r="25" ht="13.65" customHeight="1">
      <c r="A25" t="s" s="71">
        <v>127</v>
      </c>
      <c r="B25" t="s" s="72">
        <v>128</v>
      </c>
      <c r="C25" t="s" s="73">
        <v>15</v>
      </c>
      <c r="D25" t="s" s="73">
        <v>53</v>
      </c>
      <c r="E25" t="s" s="73">
        <v>54</v>
      </c>
      <c r="F25" s="74">
        <v>1024000</v>
      </c>
      <c r="G25" s="75">
        <v>46244</v>
      </c>
      <c r="H25" s="76">
        <v>3</v>
      </c>
      <c r="I25" s="76">
        <v>2</v>
      </c>
      <c r="J25" s="76">
        <v>2</v>
      </c>
      <c r="K25" s="77"/>
      <c r="L25" t="s" s="73">
        <v>55</v>
      </c>
      <c r="M25" t="s" s="73">
        <f>IF(AND(F25&gt;=800000,F25&lt;=1200000),"Yes","No")</f>
        <v>62</v>
      </c>
      <c r="N25" t="s" s="78">
        <v>129</v>
      </c>
      <c r="O25" t="s" s="78">
        <v>58</v>
      </c>
      <c r="P25" t="s" s="72">
        <v>59</v>
      </c>
      <c r="Q25" s="79">
        <v>46282</v>
      </c>
      <c r="R25" s="70"/>
    </row>
    <row r="26" ht="13.65" customHeight="1">
      <c r="A26" t="s" s="61">
        <v>130</v>
      </c>
      <c r="B26" t="s" s="62">
        <v>131</v>
      </c>
      <c r="C26" t="s" s="63">
        <v>15</v>
      </c>
      <c r="D26" t="s" s="63">
        <v>53</v>
      </c>
      <c r="E26" t="s" s="63">
        <v>54</v>
      </c>
      <c r="F26" s="64">
        <v>1221000</v>
      </c>
      <c r="G26" s="65">
        <v>46242</v>
      </c>
      <c r="H26" s="66">
        <v>3</v>
      </c>
      <c r="I26" s="66">
        <v>1</v>
      </c>
      <c r="J26" s="66">
        <v>1</v>
      </c>
      <c r="K26" s="67">
        <v>835</v>
      </c>
      <c r="L26" t="s" s="63">
        <v>55</v>
      </c>
      <c r="M26" t="s" s="63">
        <f>IF(AND(F26&gt;=800000,F26&lt;=1200000),"Yes","No")</f>
        <v>56</v>
      </c>
      <c r="N26" t="s" s="68">
        <v>132</v>
      </c>
      <c r="O26" t="s" s="68">
        <v>58</v>
      </c>
      <c r="P26" t="s" s="62">
        <v>59</v>
      </c>
      <c r="Q26" s="69">
        <v>46282</v>
      </c>
      <c r="R26" s="70"/>
    </row>
    <row r="27" ht="13.65" customHeight="1">
      <c r="A27" t="s" s="71">
        <v>133</v>
      </c>
      <c r="B27" t="s" s="72">
        <v>134</v>
      </c>
      <c r="C27" t="s" s="73">
        <v>15</v>
      </c>
      <c r="D27" t="s" s="73">
        <v>53</v>
      </c>
      <c r="E27" t="s" s="73">
        <v>54</v>
      </c>
      <c r="F27" s="74">
        <v>900000</v>
      </c>
      <c r="G27" s="75">
        <v>46242</v>
      </c>
      <c r="H27" s="76">
        <v>3</v>
      </c>
      <c r="I27" s="76">
        <v>1</v>
      </c>
      <c r="J27" s="76">
        <v>1</v>
      </c>
      <c r="K27" s="77">
        <v>562</v>
      </c>
      <c r="L27" t="s" s="73">
        <v>55</v>
      </c>
      <c r="M27" t="s" s="73">
        <f>IF(AND(F27&gt;=800000,F27&lt;=1200000),"Yes","No")</f>
        <v>62</v>
      </c>
      <c r="N27" t="s" s="78">
        <v>135</v>
      </c>
      <c r="O27" t="s" s="78">
        <v>136</v>
      </c>
      <c r="P27" t="s" s="72">
        <v>59</v>
      </c>
      <c r="Q27" s="79">
        <v>46282</v>
      </c>
      <c r="R27" s="70"/>
    </row>
    <row r="28" ht="13.65" customHeight="1">
      <c r="A28" t="s" s="61">
        <v>137</v>
      </c>
      <c r="B28" t="s" s="62">
        <v>138</v>
      </c>
      <c r="C28" t="s" s="63">
        <v>15</v>
      </c>
      <c r="D28" t="s" s="63">
        <v>53</v>
      </c>
      <c r="E28" t="s" s="63">
        <v>54</v>
      </c>
      <c r="F28" s="64">
        <v>1080000</v>
      </c>
      <c r="G28" s="65">
        <v>46239</v>
      </c>
      <c r="H28" s="66">
        <v>5</v>
      </c>
      <c r="I28" s="66">
        <v>2</v>
      </c>
      <c r="J28" s="66">
        <v>1</v>
      </c>
      <c r="K28" s="67">
        <v>560</v>
      </c>
      <c r="L28" t="s" s="63">
        <v>55</v>
      </c>
      <c r="M28" t="s" s="63">
        <f>IF(AND(F28&gt;=800000,F28&lt;=1200000),"Yes","No")</f>
        <v>62</v>
      </c>
      <c r="N28" t="s" s="68">
        <v>139</v>
      </c>
      <c r="O28" t="s" s="68">
        <v>136</v>
      </c>
      <c r="P28" t="s" s="62">
        <v>59</v>
      </c>
      <c r="Q28" s="69">
        <v>46282</v>
      </c>
      <c r="R28" s="70"/>
    </row>
    <row r="29" ht="13.65" customHeight="1">
      <c r="A29" t="s" s="71">
        <v>140</v>
      </c>
      <c r="B29" t="s" s="72">
        <v>141</v>
      </c>
      <c r="C29" t="s" s="73">
        <v>15</v>
      </c>
      <c r="D29" t="s" s="73">
        <v>53</v>
      </c>
      <c r="E29" t="s" s="73">
        <v>54</v>
      </c>
      <c r="F29" s="74">
        <v>1060000</v>
      </c>
      <c r="G29" s="75">
        <v>46237</v>
      </c>
      <c r="H29" s="76">
        <v>3</v>
      </c>
      <c r="I29" s="76">
        <v>2</v>
      </c>
      <c r="J29" s="76">
        <v>1</v>
      </c>
      <c r="K29" s="77">
        <v>441.5</v>
      </c>
      <c r="L29" t="s" s="73">
        <v>55</v>
      </c>
      <c r="M29" t="s" s="73">
        <f>IF(AND(F29&gt;=800000,F29&lt;=1200000),"Yes","No")</f>
        <v>62</v>
      </c>
      <c r="N29" t="s" s="78">
        <v>142</v>
      </c>
      <c r="O29" t="s" s="78">
        <v>136</v>
      </c>
      <c r="P29" t="s" s="72">
        <v>59</v>
      </c>
      <c r="Q29" s="79">
        <v>46282</v>
      </c>
      <c r="R29" s="70"/>
    </row>
    <row r="30" ht="13.65" customHeight="1">
      <c r="A30" t="s" s="61">
        <v>143</v>
      </c>
      <c r="B30" t="s" s="62">
        <v>144</v>
      </c>
      <c r="C30" t="s" s="63">
        <v>15</v>
      </c>
      <c r="D30" t="s" s="63">
        <v>53</v>
      </c>
      <c r="E30" t="s" s="63">
        <v>54</v>
      </c>
      <c r="F30" s="64">
        <v>900000</v>
      </c>
      <c r="G30" s="65">
        <v>46234</v>
      </c>
      <c r="H30" s="66">
        <v>3</v>
      </c>
      <c r="I30" s="66">
        <v>2</v>
      </c>
      <c r="J30" s="66">
        <v>3</v>
      </c>
      <c r="K30" s="67">
        <v>600.7</v>
      </c>
      <c r="L30" t="s" s="63">
        <v>55</v>
      </c>
      <c r="M30" t="s" s="63">
        <f>IF(AND(F30&gt;=800000,F30&lt;=1200000),"Yes","No")</f>
        <v>62</v>
      </c>
      <c r="N30" t="s" s="68">
        <v>145</v>
      </c>
      <c r="O30" t="s" s="68">
        <v>136</v>
      </c>
      <c r="P30" t="s" s="62">
        <v>59</v>
      </c>
      <c r="Q30" s="69">
        <v>46282</v>
      </c>
      <c r="R30" s="70"/>
    </row>
    <row r="31" ht="13.65" customHeight="1">
      <c r="A31" t="s" s="71">
        <v>146</v>
      </c>
      <c r="B31" t="s" s="72">
        <v>147</v>
      </c>
      <c r="C31" t="s" s="73">
        <v>15</v>
      </c>
      <c r="D31" t="s" s="73">
        <v>53</v>
      </c>
      <c r="E31" t="s" s="73">
        <v>54</v>
      </c>
      <c r="F31" s="74">
        <v>900000</v>
      </c>
      <c r="G31" s="75">
        <v>46233</v>
      </c>
      <c r="H31" s="76">
        <v>3</v>
      </c>
      <c r="I31" s="76">
        <v>1</v>
      </c>
      <c r="J31" s="76">
        <v>2</v>
      </c>
      <c r="K31" s="77">
        <v>600</v>
      </c>
      <c r="L31" t="s" s="73">
        <v>55</v>
      </c>
      <c r="M31" t="s" s="73">
        <f>IF(AND(F31&gt;=800000,F31&lt;=1200000),"Yes","No")</f>
        <v>62</v>
      </c>
      <c r="N31" t="s" s="78">
        <v>148</v>
      </c>
      <c r="O31" t="s" s="78">
        <v>136</v>
      </c>
      <c r="P31" t="s" s="72">
        <v>59</v>
      </c>
      <c r="Q31" s="79">
        <v>46282</v>
      </c>
      <c r="R31" s="70"/>
    </row>
    <row r="32" ht="13.65" customHeight="1">
      <c r="A32" t="s" s="61">
        <v>149</v>
      </c>
      <c r="B32" t="s" s="62">
        <v>150</v>
      </c>
      <c r="C32" t="s" s="63">
        <v>15</v>
      </c>
      <c r="D32" t="s" s="63">
        <v>53</v>
      </c>
      <c r="E32" t="s" s="63">
        <v>54</v>
      </c>
      <c r="F32" s="64">
        <v>1700000</v>
      </c>
      <c r="G32" s="65">
        <v>46232</v>
      </c>
      <c r="H32" s="66">
        <v>7</v>
      </c>
      <c r="I32" s="66">
        <v>4</v>
      </c>
      <c r="J32" s="66">
        <v>2</v>
      </c>
      <c r="K32" s="67">
        <v>584</v>
      </c>
      <c r="L32" t="s" s="63">
        <v>55</v>
      </c>
      <c r="M32" t="s" s="63">
        <f>IF(AND(F32&gt;=800000,F32&lt;=1200000),"Yes","No")</f>
        <v>56</v>
      </c>
      <c r="N32" t="s" s="68">
        <v>151</v>
      </c>
      <c r="O32" t="s" s="68">
        <v>136</v>
      </c>
      <c r="P32" t="s" s="62">
        <v>59</v>
      </c>
      <c r="Q32" s="69">
        <v>46282</v>
      </c>
      <c r="R32" s="70"/>
    </row>
    <row r="33" ht="13.65" customHeight="1">
      <c r="A33" t="s" s="71">
        <v>152</v>
      </c>
      <c r="B33" t="s" s="72">
        <v>153</v>
      </c>
      <c r="C33" t="s" s="73">
        <v>15</v>
      </c>
      <c r="D33" t="s" s="73">
        <v>53</v>
      </c>
      <c r="E33" t="s" s="73">
        <v>54</v>
      </c>
      <c r="F33" s="74">
        <v>870000</v>
      </c>
      <c r="G33" s="75">
        <v>46232</v>
      </c>
      <c r="H33" s="76">
        <v>2</v>
      </c>
      <c r="I33" s="76">
        <v>2</v>
      </c>
      <c r="J33" s="76">
        <v>1</v>
      </c>
      <c r="K33" s="77"/>
      <c r="L33" t="s" s="73">
        <v>55</v>
      </c>
      <c r="M33" t="s" s="73">
        <f>IF(AND(F33&gt;=800000,F33&lt;=1200000),"Yes","No")</f>
        <v>62</v>
      </c>
      <c r="N33" t="s" s="78">
        <v>154</v>
      </c>
      <c r="O33" t="s" s="78">
        <v>136</v>
      </c>
      <c r="P33" t="s" s="72">
        <v>59</v>
      </c>
      <c r="Q33" s="79">
        <v>46282</v>
      </c>
      <c r="R33" s="70"/>
    </row>
    <row r="34" ht="13.65" customHeight="1">
      <c r="A34" t="s" s="61">
        <v>155</v>
      </c>
      <c r="B34" t="s" s="62">
        <v>156</v>
      </c>
      <c r="C34" t="s" s="63">
        <v>15</v>
      </c>
      <c r="D34" t="s" s="63">
        <v>53</v>
      </c>
      <c r="E34" t="s" s="63">
        <v>54</v>
      </c>
      <c r="F34" s="64">
        <v>820000</v>
      </c>
      <c r="G34" s="65">
        <v>46232</v>
      </c>
      <c r="H34" s="66">
        <v>2</v>
      </c>
      <c r="I34" s="66">
        <v>1</v>
      </c>
      <c r="J34" s="66">
        <v>2</v>
      </c>
      <c r="K34" s="67">
        <v>308</v>
      </c>
      <c r="L34" t="s" s="63">
        <v>55</v>
      </c>
      <c r="M34" t="s" s="63">
        <f>IF(AND(F34&gt;=800000,F34&lt;=1200000),"Yes","No")</f>
        <v>62</v>
      </c>
      <c r="N34" t="s" s="68">
        <v>157</v>
      </c>
      <c r="O34" t="s" s="68">
        <v>136</v>
      </c>
      <c r="P34" t="s" s="62">
        <v>59</v>
      </c>
      <c r="Q34" s="69">
        <v>46282</v>
      </c>
      <c r="R34" s="70"/>
    </row>
    <row r="35" ht="13.65" customHeight="1">
      <c r="A35" t="s" s="71">
        <v>158</v>
      </c>
      <c r="B35" t="s" s="72">
        <v>159</v>
      </c>
      <c r="C35" t="s" s="73">
        <v>15</v>
      </c>
      <c r="D35" t="s" s="73">
        <v>53</v>
      </c>
      <c r="E35" t="s" s="73">
        <v>54</v>
      </c>
      <c r="F35" s="74">
        <v>1200000</v>
      </c>
      <c r="G35" s="75">
        <v>46231</v>
      </c>
      <c r="H35" s="76">
        <v>5</v>
      </c>
      <c r="I35" s="76">
        <v>2</v>
      </c>
      <c r="J35" s="76">
        <v>1</v>
      </c>
      <c r="K35" s="77">
        <v>550</v>
      </c>
      <c r="L35" t="s" s="73">
        <v>55</v>
      </c>
      <c r="M35" t="s" s="73">
        <f>IF(AND(F35&gt;=800000,F35&lt;=1200000),"Yes","No")</f>
        <v>62</v>
      </c>
      <c r="N35" t="s" s="78">
        <v>160</v>
      </c>
      <c r="O35" t="s" s="78">
        <v>136</v>
      </c>
      <c r="P35" t="s" s="72">
        <v>59</v>
      </c>
      <c r="Q35" s="79">
        <v>46282</v>
      </c>
      <c r="R35" s="70"/>
    </row>
    <row r="36" ht="13.65" customHeight="1">
      <c r="A36" t="s" s="61">
        <v>161</v>
      </c>
      <c r="B36" t="s" s="62">
        <v>162</v>
      </c>
      <c r="C36" t="s" s="63">
        <v>15</v>
      </c>
      <c r="D36" t="s" s="63">
        <v>53</v>
      </c>
      <c r="E36" t="s" s="63">
        <v>54</v>
      </c>
      <c r="F36" s="64">
        <v>1200000</v>
      </c>
      <c r="G36" s="65">
        <v>46230</v>
      </c>
      <c r="H36" s="66">
        <v>5</v>
      </c>
      <c r="I36" s="66">
        <v>2</v>
      </c>
      <c r="J36" s="66">
        <v>2</v>
      </c>
      <c r="K36" s="67">
        <v>803</v>
      </c>
      <c r="L36" t="s" s="63">
        <v>55</v>
      </c>
      <c r="M36" t="s" s="63">
        <f>IF(AND(F36&gt;=800000,F36&lt;=1200000),"Yes","No")</f>
        <v>62</v>
      </c>
      <c r="N36" t="s" s="68">
        <v>163</v>
      </c>
      <c r="O36" t="s" s="68">
        <v>136</v>
      </c>
      <c r="P36" t="s" s="62">
        <v>59</v>
      </c>
      <c r="Q36" s="69">
        <v>46282</v>
      </c>
      <c r="R36" s="70"/>
    </row>
    <row r="37" ht="13.65" customHeight="1">
      <c r="A37" t="s" s="71">
        <v>164</v>
      </c>
      <c r="B37" t="s" s="72">
        <v>165</v>
      </c>
      <c r="C37" t="s" s="73">
        <v>19</v>
      </c>
      <c r="D37" t="s" s="73">
        <v>53</v>
      </c>
      <c r="E37" t="s" s="73">
        <v>166</v>
      </c>
      <c r="F37" s="74">
        <v>775000</v>
      </c>
      <c r="G37" s="75">
        <v>46281</v>
      </c>
      <c r="H37" s="76">
        <v>3</v>
      </c>
      <c r="I37" s="76">
        <v>1</v>
      </c>
      <c r="J37" s="76">
        <v>2</v>
      </c>
      <c r="K37" s="77"/>
      <c r="L37" t="s" s="73">
        <v>55</v>
      </c>
      <c r="M37" t="s" s="73">
        <f>IF(AND(F37&gt;=800000,F37&lt;=1200000),"Yes","No")</f>
        <v>56</v>
      </c>
      <c r="N37" t="s" s="78">
        <v>167</v>
      </c>
      <c r="O37" t="s" s="78">
        <v>168</v>
      </c>
      <c r="P37" t="s" s="72">
        <v>59</v>
      </c>
      <c r="Q37" s="79">
        <v>46282</v>
      </c>
      <c r="R37" s="70"/>
    </row>
    <row r="38" ht="13.65" customHeight="1">
      <c r="A38" t="s" s="61">
        <v>169</v>
      </c>
      <c r="B38" t="s" s="62">
        <v>170</v>
      </c>
      <c r="C38" t="s" s="63">
        <v>19</v>
      </c>
      <c r="D38" t="s" s="63">
        <v>53</v>
      </c>
      <c r="E38" t="s" s="63">
        <v>166</v>
      </c>
      <c r="F38" s="64">
        <v>510000</v>
      </c>
      <c r="G38" s="65">
        <v>46279</v>
      </c>
      <c r="H38" s="66">
        <v>2</v>
      </c>
      <c r="I38" s="66">
        <v>1</v>
      </c>
      <c r="J38" s="66">
        <v>1</v>
      </c>
      <c r="K38" s="67"/>
      <c r="L38" t="s" s="63">
        <v>55</v>
      </c>
      <c r="M38" t="s" s="63">
        <f>IF(AND(F38&gt;=800000,F38&lt;=1200000),"Yes","No")</f>
        <v>56</v>
      </c>
      <c r="N38" t="s" s="68">
        <v>171</v>
      </c>
      <c r="O38" t="s" s="68">
        <v>168</v>
      </c>
      <c r="P38" t="s" s="62">
        <v>59</v>
      </c>
      <c r="Q38" s="69">
        <v>46282</v>
      </c>
      <c r="R38" s="70"/>
    </row>
    <row r="39" ht="13.65" customHeight="1">
      <c r="A39" t="s" s="71">
        <v>172</v>
      </c>
      <c r="B39" t="s" s="72">
        <v>173</v>
      </c>
      <c r="C39" t="s" s="73">
        <v>19</v>
      </c>
      <c r="D39" t="s" s="73">
        <v>53</v>
      </c>
      <c r="E39" t="s" s="73">
        <v>166</v>
      </c>
      <c r="F39" s="74">
        <v>951000</v>
      </c>
      <c r="G39" s="75">
        <v>46263</v>
      </c>
      <c r="H39" s="76">
        <v>3</v>
      </c>
      <c r="I39" s="76">
        <v>1</v>
      </c>
      <c r="J39" s="76"/>
      <c r="K39" s="77">
        <v>701.9</v>
      </c>
      <c r="L39" t="s" s="73">
        <v>55</v>
      </c>
      <c r="M39" t="s" s="73">
        <f>IF(AND(F39&gt;=800000,F39&lt;=1200000),"Yes","No")</f>
        <v>62</v>
      </c>
      <c r="N39" t="s" s="78">
        <v>174</v>
      </c>
      <c r="O39" t="s" s="78">
        <v>168</v>
      </c>
      <c r="P39" t="s" s="72">
        <v>59</v>
      </c>
      <c r="Q39" s="79">
        <v>46282</v>
      </c>
      <c r="R39" s="70"/>
    </row>
    <row r="40" ht="13.65" customHeight="1">
      <c r="A40" t="s" s="61">
        <v>175</v>
      </c>
      <c r="B40" t="s" s="62">
        <v>176</v>
      </c>
      <c r="C40" t="s" s="63">
        <v>19</v>
      </c>
      <c r="D40" t="s" s="63">
        <v>53</v>
      </c>
      <c r="E40" t="s" s="63">
        <v>166</v>
      </c>
      <c r="F40" s="64">
        <v>1030000</v>
      </c>
      <c r="G40" s="65">
        <v>46262</v>
      </c>
      <c r="H40" s="66">
        <v>4</v>
      </c>
      <c r="I40" s="66">
        <v>2</v>
      </c>
      <c r="J40" s="66">
        <v>1</v>
      </c>
      <c r="K40" s="67"/>
      <c r="L40" t="s" s="63">
        <v>55</v>
      </c>
      <c r="M40" t="s" s="63">
        <f>IF(AND(F40&gt;=800000,F40&lt;=1200000),"Yes","No")</f>
        <v>62</v>
      </c>
      <c r="N40" t="s" s="68">
        <v>177</v>
      </c>
      <c r="O40" t="s" s="68">
        <v>168</v>
      </c>
      <c r="P40" t="s" s="62">
        <v>59</v>
      </c>
      <c r="Q40" s="69">
        <v>46282</v>
      </c>
      <c r="R40" s="70"/>
    </row>
    <row r="41" ht="13.65" customHeight="1">
      <c r="A41" t="s" s="71">
        <v>178</v>
      </c>
      <c r="B41" t="s" s="72">
        <v>179</v>
      </c>
      <c r="C41" t="s" s="73">
        <v>19</v>
      </c>
      <c r="D41" t="s" s="73">
        <v>53</v>
      </c>
      <c r="E41" t="s" s="73">
        <v>166</v>
      </c>
      <c r="F41" s="74">
        <v>970500</v>
      </c>
      <c r="G41" s="75">
        <v>46262</v>
      </c>
      <c r="H41" s="76">
        <v>4</v>
      </c>
      <c r="I41" s="76">
        <v>2</v>
      </c>
      <c r="J41" s="76">
        <v>2</v>
      </c>
      <c r="K41" s="77">
        <v>669</v>
      </c>
      <c r="L41" t="s" s="73">
        <v>55</v>
      </c>
      <c r="M41" t="s" s="73">
        <f>IF(AND(F41&gt;=800000,F41&lt;=1200000),"Yes","No")</f>
        <v>62</v>
      </c>
      <c r="N41" t="s" s="78">
        <v>180</v>
      </c>
      <c r="O41" t="s" s="78">
        <v>168</v>
      </c>
      <c r="P41" t="s" s="72">
        <v>59</v>
      </c>
      <c r="Q41" s="79">
        <v>46282</v>
      </c>
      <c r="R41" s="70"/>
    </row>
    <row r="42" ht="13.65" customHeight="1">
      <c r="A42" t="s" s="61">
        <v>181</v>
      </c>
      <c r="B42" t="s" s="62">
        <v>182</v>
      </c>
      <c r="C42" t="s" s="63">
        <v>19</v>
      </c>
      <c r="D42" t="s" s="63">
        <v>53</v>
      </c>
      <c r="E42" t="s" s="63">
        <v>166</v>
      </c>
      <c r="F42" s="64">
        <v>620000</v>
      </c>
      <c r="G42" s="65">
        <v>46251</v>
      </c>
      <c r="H42" s="66">
        <v>3</v>
      </c>
      <c r="I42" s="66">
        <v>1</v>
      </c>
      <c r="J42" s="66">
        <v>1</v>
      </c>
      <c r="K42" s="67"/>
      <c r="L42" t="s" s="63">
        <v>55</v>
      </c>
      <c r="M42" t="s" s="63">
        <f>IF(AND(F42&gt;=800000,F42&lt;=1200000),"Yes","No")</f>
        <v>56</v>
      </c>
      <c r="N42" t="s" s="68">
        <v>183</v>
      </c>
      <c r="O42" t="s" s="68">
        <v>168</v>
      </c>
      <c r="P42" t="s" s="62">
        <v>59</v>
      </c>
      <c r="Q42" s="69">
        <v>46282</v>
      </c>
      <c r="R42" s="70"/>
    </row>
    <row r="43" ht="13.65" customHeight="1">
      <c r="A43" t="s" s="71">
        <v>184</v>
      </c>
      <c r="B43" t="s" s="72">
        <v>185</v>
      </c>
      <c r="C43" t="s" s="73">
        <v>19</v>
      </c>
      <c r="D43" t="s" s="73">
        <v>53</v>
      </c>
      <c r="E43" t="s" s="73">
        <v>166</v>
      </c>
      <c r="F43" s="74">
        <v>1150000</v>
      </c>
      <c r="G43" s="75">
        <v>46248</v>
      </c>
      <c r="H43" s="76">
        <v>4</v>
      </c>
      <c r="I43" s="76">
        <v>3</v>
      </c>
      <c r="J43" s="76">
        <v>2</v>
      </c>
      <c r="K43" s="77">
        <v>277</v>
      </c>
      <c r="L43" t="s" s="73">
        <v>55</v>
      </c>
      <c r="M43" t="s" s="73">
        <f>IF(AND(F43&gt;=800000,F43&lt;=1200000),"Yes","No")</f>
        <v>62</v>
      </c>
      <c r="N43" t="s" s="78">
        <v>186</v>
      </c>
      <c r="O43" t="s" s="78">
        <v>168</v>
      </c>
      <c r="P43" t="s" s="72">
        <v>59</v>
      </c>
      <c r="Q43" s="79">
        <v>46282</v>
      </c>
      <c r="R43" s="70"/>
    </row>
    <row r="44" ht="13.65" customHeight="1">
      <c r="A44" t="s" s="61">
        <v>187</v>
      </c>
      <c r="B44" t="s" s="62">
        <v>188</v>
      </c>
      <c r="C44" t="s" s="63">
        <v>19</v>
      </c>
      <c r="D44" t="s" s="63">
        <v>53</v>
      </c>
      <c r="E44" t="s" s="63">
        <v>166</v>
      </c>
      <c r="F44" s="64">
        <v>735000</v>
      </c>
      <c r="G44" s="65">
        <v>46246</v>
      </c>
      <c r="H44" s="66">
        <v>2</v>
      </c>
      <c r="I44" s="66">
        <v>2</v>
      </c>
      <c r="J44" s="66">
        <v>1</v>
      </c>
      <c r="K44" s="67"/>
      <c r="L44" t="s" s="63">
        <v>55</v>
      </c>
      <c r="M44" t="s" s="63">
        <f>IF(AND(F44&gt;=800000,F44&lt;=1200000),"Yes","No")</f>
        <v>56</v>
      </c>
      <c r="N44" t="s" s="68">
        <v>189</v>
      </c>
      <c r="O44" t="s" s="68">
        <v>168</v>
      </c>
      <c r="P44" t="s" s="62">
        <v>59</v>
      </c>
      <c r="Q44" s="69">
        <v>46282</v>
      </c>
      <c r="R44" s="70"/>
    </row>
    <row r="45" ht="13.65" customHeight="1">
      <c r="A45" t="s" s="71">
        <v>190</v>
      </c>
      <c r="B45" t="s" s="72">
        <v>191</v>
      </c>
      <c r="C45" t="s" s="73">
        <v>19</v>
      </c>
      <c r="D45" t="s" s="73">
        <v>53</v>
      </c>
      <c r="E45" t="s" s="73">
        <v>166</v>
      </c>
      <c r="F45" s="74">
        <v>950000</v>
      </c>
      <c r="G45" s="75">
        <v>46244</v>
      </c>
      <c r="H45" s="76">
        <v>3</v>
      </c>
      <c r="I45" s="76">
        <v>1</v>
      </c>
      <c r="J45" s="76">
        <v>1</v>
      </c>
      <c r="K45" s="77">
        <v>645</v>
      </c>
      <c r="L45" t="s" s="73">
        <v>55</v>
      </c>
      <c r="M45" t="s" s="73">
        <f>IF(AND(F45&gt;=800000,F45&lt;=1200000),"Yes","No")</f>
        <v>62</v>
      </c>
      <c r="N45" t="s" s="78">
        <v>192</v>
      </c>
      <c r="O45" t="s" s="78">
        <v>168</v>
      </c>
      <c r="P45" t="s" s="72">
        <v>59</v>
      </c>
      <c r="Q45" s="79">
        <v>46282</v>
      </c>
      <c r="R45" s="70"/>
    </row>
    <row r="46" ht="13.65" customHeight="1">
      <c r="A46" t="s" s="61">
        <v>193</v>
      </c>
      <c r="B46" t="s" s="62">
        <v>194</v>
      </c>
      <c r="C46" t="s" s="63">
        <v>19</v>
      </c>
      <c r="D46" t="s" s="63">
        <v>53</v>
      </c>
      <c r="E46" t="s" s="63">
        <v>166</v>
      </c>
      <c r="F46" s="64">
        <v>1185000</v>
      </c>
      <c r="G46" s="65">
        <v>46230</v>
      </c>
      <c r="H46" s="66">
        <v>5</v>
      </c>
      <c r="I46" s="66">
        <v>2</v>
      </c>
      <c r="J46" s="66">
        <v>2</v>
      </c>
      <c r="K46" s="67">
        <v>734</v>
      </c>
      <c r="L46" t="s" s="63">
        <v>55</v>
      </c>
      <c r="M46" t="s" s="63">
        <f>IF(AND(F46&gt;=800000,F46&lt;=1200000),"Yes","No")</f>
        <v>62</v>
      </c>
      <c r="N46" t="s" s="68">
        <v>195</v>
      </c>
      <c r="O46" t="s" s="68">
        <v>168</v>
      </c>
      <c r="P46" t="s" s="62">
        <v>59</v>
      </c>
      <c r="Q46" s="69">
        <v>46282</v>
      </c>
      <c r="R46" s="70"/>
    </row>
    <row r="47" ht="13.65" customHeight="1">
      <c r="A47" t="s" s="71">
        <v>196</v>
      </c>
      <c r="B47" t="s" s="72">
        <v>197</v>
      </c>
      <c r="C47" t="s" s="73">
        <v>19</v>
      </c>
      <c r="D47" t="s" s="73">
        <v>53</v>
      </c>
      <c r="E47" t="s" s="73">
        <v>166</v>
      </c>
      <c r="F47" s="74">
        <v>890000</v>
      </c>
      <c r="G47" s="75">
        <v>46227</v>
      </c>
      <c r="H47" s="76">
        <v>3</v>
      </c>
      <c r="I47" s="76">
        <v>2</v>
      </c>
      <c r="J47" s="76">
        <v>1</v>
      </c>
      <c r="K47" s="77">
        <v>177.1</v>
      </c>
      <c r="L47" t="s" s="73">
        <v>55</v>
      </c>
      <c r="M47" t="s" s="73">
        <f>IF(AND(F47&gt;=800000,F47&lt;=1200000),"Yes","No")</f>
        <v>62</v>
      </c>
      <c r="N47" t="s" s="78">
        <v>198</v>
      </c>
      <c r="O47" t="s" s="78">
        <v>168</v>
      </c>
      <c r="P47" t="s" s="72">
        <v>59</v>
      </c>
      <c r="Q47" s="79">
        <v>46282</v>
      </c>
      <c r="R47" s="70"/>
    </row>
    <row r="48" ht="13.65" customHeight="1">
      <c r="A48" t="s" s="61">
        <v>199</v>
      </c>
      <c r="B48" t="s" s="62">
        <v>200</v>
      </c>
      <c r="C48" t="s" s="63">
        <v>19</v>
      </c>
      <c r="D48" t="s" s="63">
        <v>53</v>
      </c>
      <c r="E48" t="s" s="63">
        <v>166</v>
      </c>
      <c r="F48" s="64">
        <v>575000</v>
      </c>
      <c r="G48" s="65">
        <v>46227</v>
      </c>
      <c r="H48" s="66">
        <v>3</v>
      </c>
      <c r="I48" s="66">
        <v>1</v>
      </c>
      <c r="J48" s="66">
        <v>1</v>
      </c>
      <c r="K48" s="67">
        <v>3977</v>
      </c>
      <c r="L48" t="s" s="63">
        <v>55</v>
      </c>
      <c r="M48" t="s" s="63">
        <f>IF(AND(F48&gt;=800000,F48&lt;=1200000),"Yes","No")</f>
        <v>56</v>
      </c>
      <c r="N48" t="s" s="68">
        <v>201</v>
      </c>
      <c r="O48" t="s" s="68">
        <v>168</v>
      </c>
      <c r="P48" t="s" s="62">
        <v>59</v>
      </c>
      <c r="Q48" s="69">
        <v>46282</v>
      </c>
      <c r="R48" s="70"/>
    </row>
    <row r="49" ht="13.65" customHeight="1">
      <c r="A49" t="s" s="71">
        <v>202</v>
      </c>
      <c r="B49" t="s" s="72">
        <v>203</v>
      </c>
      <c r="C49" t="s" s="73">
        <v>19</v>
      </c>
      <c r="D49" t="s" s="73">
        <v>53</v>
      </c>
      <c r="E49" t="s" s="73">
        <v>166</v>
      </c>
      <c r="F49" s="74">
        <v>930000</v>
      </c>
      <c r="G49" s="75">
        <v>46225</v>
      </c>
      <c r="H49" s="76">
        <v>4</v>
      </c>
      <c r="I49" s="76">
        <v>1</v>
      </c>
      <c r="J49" s="76">
        <v>1</v>
      </c>
      <c r="K49" s="77">
        <v>554</v>
      </c>
      <c r="L49" t="s" s="73">
        <v>55</v>
      </c>
      <c r="M49" t="s" s="73">
        <f>IF(AND(F49&gt;=800000,F49&lt;=1200000),"Yes","No")</f>
        <v>62</v>
      </c>
      <c r="N49" t="s" s="78">
        <v>204</v>
      </c>
      <c r="O49" t="s" s="78">
        <v>168</v>
      </c>
      <c r="P49" t="s" s="72">
        <v>59</v>
      </c>
      <c r="Q49" s="79">
        <v>46282</v>
      </c>
      <c r="R49" s="70"/>
    </row>
    <row r="50" ht="13.65" customHeight="1">
      <c r="A50" t="s" s="61">
        <v>205</v>
      </c>
      <c r="B50" t="s" s="62">
        <v>206</v>
      </c>
      <c r="C50" t="s" s="63">
        <v>19</v>
      </c>
      <c r="D50" t="s" s="63">
        <v>53</v>
      </c>
      <c r="E50" t="s" s="63">
        <v>166</v>
      </c>
      <c r="F50" s="64">
        <v>820000</v>
      </c>
      <c r="G50" s="65">
        <v>46224</v>
      </c>
      <c r="H50" s="66">
        <v>2</v>
      </c>
      <c r="I50" s="66">
        <v>1</v>
      </c>
      <c r="J50" s="66"/>
      <c r="K50" s="67">
        <v>758</v>
      </c>
      <c r="L50" t="s" s="63">
        <v>55</v>
      </c>
      <c r="M50" t="s" s="63">
        <f>IF(AND(F50&gt;=800000,F50&lt;=1200000),"Yes","No")</f>
        <v>62</v>
      </c>
      <c r="N50" t="s" s="68">
        <v>207</v>
      </c>
      <c r="O50" t="s" s="68">
        <v>168</v>
      </c>
      <c r="P50" t="s" s="62">
        <v>59</v>
      </c>
      <c r="Q50" s="69">
        <v>46282</v>
      </c>
      <c r="R50" s="70"/>
    </row>
    <row r="51" ht="13.65" customHeight="1">
      <c r="A51" t="s" s="71">
        <v>208</v>
      </c>
      <c r="B51" t="s" s="72">
        <v>209</v>
      </c>
      <c r="C51" t="s" s="73">
        <v>19</v>
      </c>
      <c r="D51" t="s" s="73">
        <v>53</v>
      </c>
      <c r="E51" t="s" s="73">
        <v>166</v>
      </c>
      <c r="F51" s="74">
        <v>1195000</v>
      </c>
      <c r="G51" s="75">
        <v>46220</v>
      </c>
      <c r="H51" s="76">
        <v>6</v>
      </c>
      <c r="I51" s="76">
        <v>3</v>
      </c>
      <c r="J51" s="76">
        <v>1</v>
      </c>
      <c r="K51" s="77">
        <v>368</v>
      </c>
      <c r="L51" t="s" s="73">
        <v>55</v>
      </c>
      <c r="M51" t="s" s="73">
        <f>IF(AND(F51&gt;=800000,F51&lt;=1200000),"Yes","No")</f>
        <v>62</v>
      </c>
      <c r="N51" t="s" s="78">
        <v>210</v>
      </c>
      <c r="O51" t="s" s="78">
        <v>168</v>
      </c>
      <c r="P51" t="s" s="72">
        <v>59</v>
      </c>
      <c r="Q51" s="79">
        <v>46282</v>
      </c>
      <c r="R51" s="70"/>
    </row>
    <row r="52" ht="13.65" customHeight="1">
      <c r="A52" t="s" s="61">
        <v>211</v>
      </c>
      <c r="B52" t="s" s="62">
        <v>212</v>
      </c>
      <c r="C52" t="s" s="63">
        <v>19</v>
      </c>
      <c r="D52" t="s" s="63">
        <v>53</v>
      </c>
      <c r="E52" t="s" s="63">
        <v>166</v>
      </c>
      <c r="F52" s="64">
        <v>1160555</v>
      </c>
      <c r="G52" s="65">
        <v>46217</v>
      </c>
      <c r="H52" s="66">
        <v>6</v>
      </c>
      <c r="I52" s="66">
        <v>2</v>
      </c>
      <c r="J52" s="66">
        <v>1</v>
      </c>
      <c r="K52" s="67">
        <v>639</v>
      </c>
      <c r="L52" t="s" s="63">
        <v>55</v>
      </c>
      <c r="M52" t="s" s="63">
        <f>IF(AND(F52&gt;=800000,F52&lt;=1200000),"Yes","No")</f>
        <v>62</v>
      </c>
      <c r="N52" t="s" s="68">
        <v>213</v>
      </c>
      <c r="O52" t="s" s="68">
        <v>168</v>
      </c>
      <c r="P52" t="s" s="62">
        <v>59</v>
      </c>
      <c r="Q52" s="69">
        <v>46282</v>
      </c>
      <c r="R52" s="70"/>
    </row>
    <row r="53" ht="13.65" customHeight="1">
      <c r="A53" t="s" s="71">
        <v>214</v>
      </c>
      <c r="B53" t="s" s="72">
        <v>215</v>
      </c>
      <c r="C53" t="s" s="73">
        <v>19</v>
      </c>
      <c r="D53" t="s" s="73">
        <v>53</v>
      </c>
      <c r="E53" t="s" s="73">
        <v>166</v>
      </c>
      <c r="F53" s="74">
        <v>965000</v>
      </c>
      <c r="G53" s="75">
        <v>46213</v>
      </c>
      <c r="H53" s="76">
        <v>3</v>
      </c>
      <c r="I53" s="76">
        <v>2</v>
      </c>
      <c r="J53" s="76">
        <v>2</v>
      </c>
      <c r="K53" s="77"/>
      <c r="L53" t="s" s="73">
        <v>55</v>
      </c>
      <c r="M53" t="s" s="73">
        <f>IF(AND(F53&gt;=800000,F53&lt;=1200000),"Yes","No")</f>
        <v>62</v>
      </c>
      <c r="N53" t="s" s="78">
        <v>216</v>
      </c>
      <c r="O53" t="s" s="78">
        <v>168</v>
      </c>
      <c r="P53" t="s" s="72">
        <v>59</v>
      </c>
      <c r="Q53" s="79">
        <v>46282</v>
      </c>
      <c r="R53" s="70"/>
    </row>
    <row r="54" ht="13.65" customHeight="1">
      <c r="A54" t="s" s="61">
        <v>217</v>
      </c>
      <c r="B54" t="s" s="62">
        <v>218</v>
      </c>
      <c r="C54" t="s" s="63">
        <v>19</v>
      </c>
      <c r="D54" t="s" s="63">
        <v>53</v>
      </c>
      <c r="E54" t="s" s="63">
        <v>166</v>
      </c>
      <c r="F54" s="64">
        <v>1750000</v>
      </c>
      <c r="G54" s="65">
        <v>46211</v>
      </c>
      <c r="H54" s="66">
        <v>7</v>
      </c>
      <c r="I54" s="66">
        <v>4</v>
      </c>
      <c r="J54" s="66">
        <v>2</v>
      </c>
      <c r="K54" s="67">
        <v>510.9</v>
      </c>
      <c r="L54" t="s" s="63">
        <v>55</v>
      </c>
      <c r="M54" t="s" s="63">
        <f>IF(AND(F54&gt;=800000,F54&lt;=1200000),"Yes","No")</f>
        <v>56</v>
      </c>
      <c r="N54" t="s" s="68">
        <v>219</v>
      </c>
      <c r="O54" t="s" s="68">
        <v>168</v>
      </c>
      <c r="P54" t="s" s="62">
        <v>59</v>
      </c>
      <c r="Q54" s="69">
        <v>46282</v>
      </c>
      <c r="R54" s="70"/>
    </row>
    <row r="55" ht="13.65" customHeight="1">
      <c r="A55" t="s" s="71">
        <v>220</v>
      </c>
      <c r="B55" t="s" s="72">
        <v>221</v>
      </c>
      <c r="C55" t="s" s="73">
        <v>19</v>
      </c>
      <c r="D55" t="s" s="73">
        <v>53</v>
      </c>
      <c r="E55" t="s" s="73">
        <v>166</v>
      </c>
      <c r="F55" s="74">
        <v>990000</v>
      </c>
      <c r="G55" s="75">
        <v>46205</v>
      </c>
      <c r="H55" s="76">
        <v>3</v>
      </c>
      <c r="I55" s="76">
        <v>1</v>
      </c>
      <c r="J55" s="76">
        <v>2</v>
      </c>
      <c r="K55" s="77">
        <v>961</v>
      </c>
      <c r="L55" t="s" s="73">
        <v>55</v>
      </c>
      <c r="M55" t="s" s="73">
        <f>IF(AND(F55&gt;=800000,F55&lt;=1200000),"Yes","No")</f>
        <v>62</v>
      </c>
      <c r="N55" t="s" s="78">
        <v>222</v>
      </c>
      <c r="O55" t="s" s="78">
        <v>168</v>
      </c>
      <c r="P55" t="s" s="72">
        <v>59</v>
      </c>
      <c r="Q55" s="79">
        <v>46282</v>
      </c>
      <c r="R55" s="70"/>
    </row>
    <row r="56" ht="13.65" customHeight="1">
      <c r="A56" t="s" s="61">
        <v>223</v>
      </c>
      <c r="B56" t="s" s="62">
        <v>224</v>
      </c>
      <c r="C56" t="s" s="63">
        <v>19</v>
      </c>
      <c r="D56" t="s" s="63">
        <v>53</v>
      </c>
      <c r="E56" t="s" s="63">
        <v>166</v>
      </c>
      <c r="F56" s="64">
        <v>1600000</v>
      </c>
      <c r="G56" s="65">
        <v>46192</v>
      </c>
      <c r="H56" s="66">
        <v>3</v>
      </c>
      <c r="I56" s="66">
        <v>1</v>
      </c>
      <c r="J56" s="66"/>
      <c r="K56" s="67">
        <v>1201</v>
      </c>
      <c r="L56" t="s" s="63">
        <v>55</v>
      </c>
      <c r="M56" t="s" s="63">
        <f>IF(AND(F56&gt;=800000,F56&lt;=1200000),"Yes","No")</f>
        <v>56</v>
      </c>
      <c r="N56" t="s" s="68">
        <v>225</v>
      </c>
      <c r="O56" t="s" s="68">
        <v>168</v>
      </c>
      <c r="P56" t="s" s="62">
        <v>59</v>
      </c>
      <c r="Q56" s="69">
        <v>46282</v>
      </c>
      <c r="R56" s="70"/>
    </row>
    <row r="57" ht="13.65" customHeight="1">
      <c r="A57" t="s" s="71">
        <v>226</v>
      </c>
      <c r="B57" t="s" s="72">
        <v>227</v>
      </c>
      <c r="C57" t="s" s="73">
        <v>19</v>
      </c>
      <c r="D57" t="s" s="73">
        <v>53</v>
      </c>
      <c r="E57" t="s" s="73">
        <v>166</v>
      </c>
      <c r="F57" s="74">
        <v>1020000</v>
      </c>
      <c r="G57" s="75">
        <v>46192</v>
      </c>
      <c r="H57" s="76">
        <v>4</v>
      </c>
      <c r="I57" s="76">
        <v>2</v>
      </c>
      <c r="J57" s="76">
        <v>4</v>
      </c>
      <c r="K57" s="77">
        <v>556.4</v>
      </c>
      <c r="L57" t="s" s="73">
        <v>55</v>
      </c>
      <c r="M57" t="s" s="73">
        <f>IF(AND(F57&gt;=800000,F57&lt;=1200000),"Yes","No")</f>
        <v>62</v>
      </c>
      <c r="N57" t="s" s="78">
        <v>228</v>
      </c>
      <c r="O57" t="s" s="78">
        <v>168</v>
      </c>
      <c r="P57" t="s" s="72">
        <v>59</v>
      </c>
      <c r="Q57" s="79">
        <v>46282</v>
      </c>
      <c r="R57" s="70"/>
    </row>
    <row r="58" ht="13.65" customHeight="1">
      <c r="A58" t="s" s="61">
        <v>229</v>
      </c>
      <c r="B58" t="s" s="62">
        <v>230</v>
      </c>
      <c r="C58" t="s" s="63">
        <v>19</v>
      </c>
      <c r="D58" t="s" s="63">
        <v>53</v>
      </c>
      <c r="E58" t="s" s="63">
        <v>166</v>
      </c>
      <c r="F58" s="64">
        <v>885000</v>
      </c>
      <c r="G58" s="65">
        <v>46192</v>
      </c>
      <c r="H58" s="66">
        <v>3</v>
      </c>
      <c r="I58" s="66">
        <v>1</v>
      </c>
      <c r="J58" s="66">
        <v>1</v>
      </c>
      <c r="K58" s="67">
        <v>551</v>
      </c>
      <c r="L58" t="s" s="63">
        <v>55</v>
      </c>
      <c r="M58" t="s" s="63">
        <f>IF(AND(F58&gt;=800000,F58&lt;=1200000),"Yes","No")</f>
        <v>62</v>
      </c>
      <c r="N58" t="s" s="68">
        <v>231</v>
      </c>
      <c r="O58" t="s" s="68">
        <v>168</v>
      </c>
      <c r="P58" t="s" s="62">
        <v>59</v>
      </c>
      <c r="Q58" s="69">
        <v>46282</v>
      </c>
      <c r="R58" s="70"/>
    </row>
    <row r="59" ht="13.65" customHeight="1">
      <c r="A59" t="s" s="71">
        <v>232</v>
      </c>
      <c r="B59" t="s" s="72">
        <v>233</v>
      </c>
      <c r="C59" t="s" s="73">
        <v>19</v>
      </c>
      <c r="D59" t="s" s="73">
        <v>53</v>
      </c>
      <c r="E59" t="s" s="73">
        <v>166</v>
      </c>
      <c r="F59" s="74">
        <v>1170000</v>
      </c>
      <c r="G59" s="75">
        <v>46189</v>
      </c>
      <c r="H59" s="76">
        <v>4</v>
      </c>
      <c r="I59" s="76">
        <v>2</v>
      </c>
      <c r="J59" s="76">
        <v>2</v>
      </c>
      <c r="K59" s="77">
        <v>415</v>
      </c>
      <c r="L59" t="s" s="73">
        <v>55</v>
      </c>
      <c r="M59" t="s" s="73">
        <f>IF(AND(F59&gt;=800000,F59&lt;=1200000),"Yes","No")</f>
        <v>62</v>
      </c>
      <c r="N59" t="s" s="78">
        <v>234</v>
      </c>
      <c r="O59" t="s" s="78">
        <v>168</v>
      </c>
      <c r="P59" t="s" s="72">
        <v>59</v>
      </c>
      <c r="Q59" s="79">
        <v>46282</v>
      </c>
      <c r="R59" s="70"/>
    </row>
    <row r="60" ht="13.65" customHeight="1">
      <c r="A60" t="s" s="61">
        <v>235</v>
      </c>
      <c r="B60" t="s" s="62">
        <v>236</v>
      </c>
      <c r="C60" t="s" s="63">
        <v>19</v>
      </c>
      <c r="D60" t="s" s="63">
        <v>53</v>
      </c>
      <c r="E60" t="s" s="63">
        <v>166</v>
      </c>
      <c r="F60" s="64">
        <v>915000</v>
      </c>
      <c r="G60" s="65">
        <v>46189</v>
      </c>
      <c r="H60" s="66">
        <v>3</v>
      </c>
      <c r="I60" s="66">
        <v>1</v>
      </c>
      <c r="J60" s="66">
        <v>1</v>
      </c>
      <c r="K60" s="67">
        <v>567</v>
      </c>
      <c r="L60" t="s" s="63">
        <v>55</v>
      </c>
      <c r="M60" t="s" s="63">
        <f>IF(AND(F60&gt;=800000,F60&lt;=1200000),"Yes","No")</f>
        <v>62</v>
      </c>
      <c r="N60" t="s" s="68">
        <v>237</v>
      </c>
      <c r="O60" t="s" s="68">
        <v>168</v>
      </c>
      <c r="P60" t="s" s="62">
        <v>59</v>
      </c>
      <c r="Q60" s="69">
        <v>46282</v>
      </c>
      <c r="R60" s="70"/>
    </row>
    <row r="61" ht="13.65" customHeight="1">
      <c r="A61" t="s" s="71">
        <v>238</v>
      </c>
      <c r="B61" t="s" s="72">
        <v>239</v>
      </c>
      <c r="C61" t="s" s="73">
        <v>19</v>
      </c>
      <c r="D61" t="s" s="73">
        <v>53</v>
      </c>
      <c r="E61" t="s" s="73">
        <v>166</v>
      </c>
      <c r="F61" s="74">
        <v>1220000</v>
      </c>
      <c r="G61" s="75">
        <v>46186</v>
      </c>
      <c r="H61" s="76">
        <v>3</v>
      </c>
      <c r="I61" s="76">
        <v>1</v>
      </c>
      <c r="J61" s="76">
        <v>1</v>
      </c>
      <c r="K61" s="77">
        <v>815</v>
      </c>
      <c r="L61" t="s" s="73">
        <v>55</v>
      </c>
      <c r="M61" t="s" s="73">
        <f>IF(AND(F61&gt;=800000,F61&lt;=1200000),"Yes","No")</f>
        <v>56</v>
      </c>
      <c r="N61" t="s" s="78">
        <v>240</v>
      </c>
      <c r="O61" t="s" s="78">
        <v>168</v>
      </c>
      <c r="P61" t="s" s="72">
        <v>59</v>
      </c>
      <c r="Q61" s="79">
        <v>46282</v>
      </c>
      <c r="R61" s="70"/>
    </row>
    <row r="62" ht="13.65" customHeight="1">
      <c r="A62" t="s" s="61">
        <v>241</v>
      </c>
      <c r="B62" t="s" s="62">
        <v>242</v>
      </c>
      <c r="C62" t="s" s="63">
        <v>19</v>
      </c>
      <c r="D62" t="s" s="63">
        <v>53</v>
      </c>
      <c r="E62" t="s" s="63">
        <v>166</v>
      </c>
      <c r="F62" s="64">
        <v>920000</v>
      </c>
      <c r="G62" s="65">
        <v>46185</v>
      </c>
      <c r="H62" s="66">
        <v>4</v>
      </c>
      <c r="I62" s="66">
        <v>2</v>
      </c>
      <c r="J62" s="66">
        <v>2</v>
      </c>
      <c r="K62" s="67">
        <v>621</v>
      </c>
      <c r="L62" t="s" s="63">
        <v>55</v>
      </c>
      <c r="M62" t="s" s="63">
        <f>IF(AND(F62&gt;=800000,F62&lt;=1200000),"Yes","No")</f>
        <v>62</v>
      </c>
      <c r="N62" t="s" s="68">
        <v>243</v>
      </c>
      <c r="O62" t="s" s="68">
        <v>244</v>
      </c>
      <c r="P62" t="s" s="62">
        <v>59</v>
      </c>
      <c r="Q62" s="69">
        <v>46282</v>
      </c>
      <c r="R62" s="70"/>
    </row>
    <row r="63" ht="13.65" customHeight="1">
      <c r="A63" t="s" s="71">
        <v>245</v>
      </c>
      <c r="B63" t="s" s="72">
        <v>246</v>
      </c>
      <c r="C63" t="s" s="73">
        <v>19</v>
      </c>
      <c r="D63" t="s" s="73">
        <v>53</v>
      </c>
      <c r="E63" t="s" s="73">
        <v>166</v>
      </c>
      <c r="F63" s="74">
        <v>870000</v>
      </c>
      <c r="G63" s="75">
        <v>46182</v>
      </c>
      <c r="H63" s="76">
        <v>2</v>
      </c>
      <c r="I63" s="76">
        <v>1</v>
      </c>
      <c r="J63" s="76">
        <v>2</v>
      </c>
      <c r="K63" s="77">
        <v>606</v>
      </c>
      <c r="L63" t="s" s="73">
        <v>55</v>
      </c>
      <c r="M63" t="s" s="73">
        <f>IF(AND(F63&gt;=800000,F63&lt;=1200000),"Yes","No")</f>
        <v>62</v>
      </c>
      <c r="N63" t="s" s="78">
        <v>247</v>
      </c>
      <c r="O63" t="s" s="78">
        <v>244</v>
      </c>
      <c r="P63" t="s" s="72">
        <v>59</v>
      </c>
      <c r="Q63" s="79">
        <v>46282</v>
      </c>
      <c r="R63" s="70"/>
    </row>
    <row r="64" ht="13.65" customHeight="1">
      <c r="A64" t="s" s="61">
        <v>248</v>
      </c>
      <c r="B64" t="s" s="62">
        <v>249</v>
      </c>
      <c r="C64" t="s" s="63">
        <v>19</v>
      </c>
      <c r="D64" t="s" s="63">
        <v>53</v>
      </c>
      <c r="E64" t="s" s="63">
        <v>166</v>
      </c>
      <c r="F64" s="64">
        <v>1195000</v>
      </c>
      <c r="G64" s="65">
        <v>46178</v>
      </c>
      <c r="H64" s="66">
        <v>4</v>
      </c>
      <c r="I64" s="66">
        <v>2</v>
      </c>
      <c r="J64" s="66">
        <v>1</v>
      </c>
      <c r="K64" s="67">
        <v>486</v>
      </c>
      <c r="L64" t="s" s="63">
        <v>55</v>
      </c>
      <c r="M64" t="s" s="63">
        <f>IF(AND(F64&gt;=800000,F64&lt;=1200000),"Yes","No")</f>
        <v>62</v>
      </c>
      <c r="N64" t="s" s="68">
        <v>250</v>
      </c>
      <c r="O64" t="s" s="68">
        <v>244</v>
      </c>
      <c r="P64" t="s" s="62">
        <v>59</v>
      </c>
      <c r="Q64" s="69">
        <v>46282</v>
      </c>
      <c r="R64" s="70"/>
    </row>
    <row r="65" ht="13.65" customHeight="1">
      <c r="A65" t="s" s="71">
        <v>251</v>
      </c>
      <c r="B65" t="s" s="72">
        <v>252</v>
      </c>
      <c r="C65" t="s" s="73">
        <v>19</v>
      </c>
      <c r="D65" t="s" s="73">
        <v>53</v>
      </c>
      <c r="E65" t="s" s="73">
        <v>166</v>
      </c>
      <c r="F65" s="74">
        <v>915000</v>
      </c>
      <c r="G65" s="75">
        <v>46174</v>
      </c>
      <c r="H65" s="76">
        <v>4</v>
      </c>
      <c r="I65" s="76">
        <v>1</v>
      </c>
      <c r="J65" s="76">
        <v>1</v>
      </c>
      <c r="K65" s="77">
        <v>562.8</v>
      </c>
      <c r="L65" t="s" s="73">
        <v>55</v>
      </c>
      <c r="M65" t="s" s="73">
        <f>IF(AND(F65&gt;=800000,F65&lt;=1200000),"Yes","No")</f>
        <v>62</v>
      </c>
      <c r="N65" t="s" s="78">
        <v>253</v>
      </c>
      <c r="O65" t="s" s="78">
        <v>244</v>
      </c>
      <c r="P65" t="s" s="72">
        <v>59</v>
      </c>
      <c r="Q65" s="79">
        <v>46282</v>
      </c>
      <c r="R65" s="70"/>
    </row>
    <row r="66" ht="13.65" customHeight="1">
      <c r="A66" t="s" s="61">
        <v>254</v>
      </c>
      <c r="B66" t="s" s="62">
        <v>255</v>
      </c>
      <c r="C66" t="s" s="63">
        <v>19</v>
      </c>
      <c r="D66" t="s" s="63">
        <v>53</v>
      </c>
      <c r="E66" t="s" s="63">
        <v>166</v>
      </c>
      <c r="F66" s="64">
        <v>1190000</v>
      </c>
      <c r="G66" s="65">
        <v>46167</v>
      </c>
      <c r="H66" s="66">
        <v>3</v>
      </c>
      <c r="I66" s="66">
        <v>1</v>
      </c>
      <c r="J66" s="66">
        <v>1</v>
      </c>
      <c r="K66" s="67">
        <v>898</v>
      </c>
      <c r="L66" t="s" s="63">
        <v>55</v>
      </c>
      <c r="M66" t="s" s="63">
        <f>IF(AND(F66&gt;=800000,F66&lt;=1200000),"Yes","No")</f>
        <v>62</v>
      </c>
      <c r="N66" t="s" s="68">
        <v>256</v>
      </c>
      <c r="O66" t="s" s="68">
        <v>244</v>
      </c>
      <c r="P66" t="s" s="62">
        <v>59</v>
      </c>
      <c r="Q66" s="69">
        <v>46282</v>
      </c>
      <c r="R66" s="70"/>
    </row>
    <row r="67" ht="13.65" customHeight="1">
      <c r="A67" t="s" s="71">
        <v>257</v>
      </c>
      <c r="B67" t="s" s="72">
        <v>258</v>
      </c>
      <c r="C67" t="s" s="73">
        <v>19</v>
      </c>
      <c r="D67" t="s" s="73">
        <v>53</v>
      </c>
      <c r="E67" t="s" s="73">
        <v>166</v>
      </c>
      <c r="F67" s="74">
        <v>920000</v>
      </c>
      <c r="G67" s="75">
        <v>46164</v>
      </c>
      <c r="H67" s="76">
        <v>3</v>
      </c>
      <c r="I67" s="76">
        <v>1</v>
      </c>
      <c r="J67" s="76">
        <v>1</v>
      </c>
      <c r="K67" s="77">
        <v>556</v>
      </c>
      <c r="L67" t="s" s="73">
        <v>55</v>
      </c>
      <c r="M67" t="s" s="73">
        <f>IF(AND(F67&gt;=800000,F67&lt;=1200000),"Yes","No")</f>
        <v>62</v>
      </c>
      <c r="N67" t="s" s="78">
        <v>259</v>
      </c>
      <c r="O67" t="s" s="78">
        <v>244</v>
      </c>
      <c r="P67" t="s" s="72">
        <v>59</v>
      </c>
      <c r="Q67" s="79">
        <v>46282</v>
      </c>
      <c r="R67" s="70"/>
    </row>
    <row r="68" ht="13.65" customHeight="1">
      <c r="A68" t="s" s="61">
        <v>260</v>
      </c>
      <c r="B68" t="s" s="62">
        <v>261</v>
      </c>
      <c r="C68" t="s" s="63">
        <v>19</v>
      </c>
      <c r="D68" t="s" s="63">
        <v>53</v>
      </c>
      <c r="E68" t="s" s="63">
        <v>166</v>
      </c>
      <c r="F68" s="64">
        <v>1351500</v>
      </c>
      <c r="G68" s="65">
        <v>46163</v>
      </c>
      <c r="H68" s="66">
        <v>4</v>
      </c>
      <c r="I68" s="66">
        <v>2</v>
      </c>
      <c r="J68" s="66">
        <v>2</v>
      </c>
      <c r="K68" s="67"/>
      <c r="L68" t="s" s="63">
        <v>55</v>
      </c>
      <c r="M68" t="s" s="63">
        <f>IF(AND(F68&gt;=800000,F68&lt;=1200000),"Yes","No")</f>
        <v>56</v>
      </c>
      <c r="N68" t="s" s="68">
        <v>262</v>
      </c>
      <c r="O68" t="s" s="68">
        <v>244</v>
      </c>
      <c r="P68" t="s" s="62">
        <v>59</v>
      </c>
      <c r="Q68" s="69">
        <v>46282</v>
      </c>
      <c r="R68" s="70"/>
    </row>
    <row r="69" ht="13.65" customHeight="1">
      <c r="A69" t="s" s="71">
        <v>263</v>
      </c>
      <c r="B69" t="s" s="72">
        <v>264</v>
      </c>
      <c r="C69" t="s" s="73">
        <v>19</v>
      </c>
      <c r="D69" t="s" s="73">
        <v>53</v>
      </c>
      <c r="E69" t="s" s="73">
        <v>166</v>
      </c>
      <c r="F69" s="74">
        <v>855000</v>
      </c>
      <c r="G69" s="75">
        <v>46162</v>
      </c>
      <c r="H69" s="76">
        <v>3</v>
      </c>
      <c r="I69" s="76">
        <v>2</v>
      </c>
      <c r="J69" s="76">
        <v>1</v>
      </c>
      <c r="K69" s="77"/>
      <c r="L69" t="s" s="73">
        <v>55</v>
      </c>
      <c r="M69" t="s" s="73">
        <f>IF(AND(F69&gt;=800000,F69&lt;=1200000),"Yes","No")</f>
        <v>62</v>
      </c>
      <c r="N69" t="s" s="78">
        <v>265</v>
      </c>
      <c r="O69" t="s" s="78">
        <v>244</v>
      </c>
      <c r="P69" t="s" s="72">
        <v>59</v>
      </c>
      <c r="Q69" s="79">
        <v>46282</v>
      </c>
      <c r="R69" s="70"/>
    </row>
    <row r="70" ht="13.65" customHeight="1">
      <c r="A70" t="s" s="61">
        <v>266</v>
      </c>
      <c r="B70" t="s" s="62">
        <v>267</v>
      </c>
      <c r="C70" t="s" s="63">
        <v>19</v>
      </c>
      <c r="D70" t="s" s="63">
        <v>53</v>
      </c>
      <c r="E70" t="s" s="63">
        <v>166</v>
      </c>
      <c r="F70" s="64">
        <v>1000000</v>
      </c>
      <c r="G70" s="65">
        <v>46151</v>
      </c>
      <c r="H70" s="66">
        <v>3</v>
      </c>
      <c r="I70" s="66">
        <v>1</v>
      </c>
      <c r="J70" s="66">
        <v>2</v>
      </c>
      <c r="K70" s="67">
        <v>556.4</v>
      </c>
      <c r="L70" t="s" s="63">
        <v>55</v>
      </c>
      <c r="M70" t="s" s="63">
        <f>IF(AND(F70&gt;=800000,F70&lt;=1200000),"Yes","No")</f>
        <v>62</v>
      </c>
      <c r="N70" t="s" s="68">
        <v>268</v>
      </c>
      <c r="O70" t="s" s="68">
        <v>244</v>
      </c>
      <c r="P70" t="s" s="62">
        <v>59</v>
      </c>
      <c r="Q70" s="69">
        <v>46282</v>
      </c>
      <c r="R70" s="70"/>
    </row>
    <row r="71" ht="13.65" customHeight="1">
      <c r="A71" t="s" s="71">
        <v>269</v>
      </c>
      <c r="B71" t="s" s="72">
        <v>270</v>
      </c>
      <c r="C71" t="s" s="73">
        <v>19</v>
      </c>
      <c r="D71" t="s" s="73">
        <v>53</v>
      </c>
      <c r="E71" t="s" s="73">
        <v>166</v>
      </c>
      <c r="F71" s="74">
        <v>1010000</v>
      </c>
      <c r="G71" s="75">
        <v>46148</v>
      </c>
      <c r="H71" s="76">
        <v>3</v>
      </c>
      <c r="I71" s="76">
        <v>1</v>
      </c>
      <c r="J71" s="76">
        <v>2</v>
      </c>
      <c r="K71" s="77">
        <v>670.3</v>
      </c>
      <c r="L71" t="s" s="73">
        <v>55</v>
      </c>
      <c r="M71" t="s" s="73">
        <f>IF(AND(F71&gt;=800000,F71&lt;=1200000),"Yes","No")</f>
        <v>62</v>
      </c>
      <c r="N71" t="s" s="78">
        <v>271</v>
      </c>
      <c r="O71" t="s" s="78">
        <v>244</v>
      </c>
      <c r="P71" t="s" s="72">
        <v>59</v>
      </c>
      <c r="Q71" s="79">
        <v>46282</v>
      </c>
      <c r="R71" s="70"/>
    </row>
    <row r="72" ht="13.65" customHeight="1">
      <c r="A72" t="s" s="61">
        <v>272</v>
      </c>
      <c r="B72" t="s" s="62">
        <v>273</v>
      </c>
      <c r="C72" t="s" s="63">
        <v>17</v>
      </c>
      <c r="D72" t="s" s="63">
        <v>53</v>
      </c>
      <c r="E72" t="s" s="63">
        <v>274</v>
      </c>
      <c r="F72" s="64">
        <v>2000000</v>
      </c>
      <c r="G72" s="65">
        <v>46280</v>
      </c>
      <c r="H72" s="66">
        <v>4</v>
      </c>
      <c r="I72" s="66">
        <v>2</v>
      </c>
      <c r="J72" s="66">
        <v>2</v>
      </c>
      <c r="K72" s="67">
        <v>676</v>
      </c>
      <c r="L72" t="s" s="63">
        <v>55</v>
      </c>
      <c r="M72" t="s" s="63">
        <f>IF(AND(F72&gt;=800000,F72&lt;=1200000),"Yes","No")</f>
        <v>56</v>
      </c>
      <c r="N72" t="s" s="68">
        <v>275</v>
      </c>
      <c r="O72" t="s" s="68">
        <v>276</v>
      </c>
      <c r="P72" t="s" s="62">
        <v>59</v>
      </c>
      <c r="Q72" s="69">
        <v>46282</v>
      </c>
      <c r="R72" s="70"/>
    </row>
    <row r="73" ht="13.65" customHeight="1">
      <c r="A73" t="s" s="71">
        <v>277</v>
      </c>
      <c r="B73" t="s" s="72">
        <v>278</v>
      </c>
      <c r="C73" t="s" s="73">
        <v>17</v>
      </c>
      <c r="D73" t="s" s="73">
        <v>53</v>
      </c>
      <c r="E73" t="s" s="73">
        <v>274</v>
      </c>
      <c r="F73" s="74">
        <v>1200000</v>
      </c>
      <c r="G73" s="75">
        <v>46280</v>
      </c>
      <c r="H73" s="76">
        <v>3</v>
      </c>
      <c r="I73" s="76">
        <v>1</v>
      </c>
      <c r="J73" s="76">
        <v>1</v>
      </c>
      <c r="K73" s="77"/>
      <c r="L73" t="s" s="73">
        <v>55</v>
      </c>
      <c r="M73" t="s" s="73">
        <f>IF(AND(F73&gt;=800000,F73&lt;=1200000),"Yes","No")</f>
        <v>62</v>
      </c>
      <c r="N73" t="s" s="78">
        <v>279</v>
      </c>
      <c r="O73" t="s" s="78">
        <v>276</v>
      </c>
      <c r="P73" t="s" s="72">
        <v>59</v>
      </c>
      <c r="Q73" s="79">
        <v>46282</v>
      </c>
      <c r="R73" s="70"/>
    </row>
    <row r="74" ht="13.65" customHeight="1">
      <c r="A74" t="s" s="61">
        <v>280</v>
      </c>
      <c r="B74" t="s" s="62">
        <v>281</v>
      </c>
      <c r="C74" t="s" s="63">
        <v>17</v>
      </c>
      <c r="D74" t="s" s="63">
        <v>53</v>
      </c>
      <c r="E74" t="s" s="63">
        <v>274</v>
      </c>
      <c r="F74" s="64">
        <v>1150000</v>
      </c>
      <c r="G74" s="65">
        <v>46276</v>
      </c>
      <c r="H74" s="66">
        <v>6</v>
      </c>
      <c r="I74" s="66">
        <v>2</v>
      </c>
      <c r="J74" s="66">
        <v>2</v>
      </c>
      <c r="K74" s="67"/>
      <c r="L74" t="s" s="63">
        <v>55</v>
      </c>
      <c r="M74" t="s" s="63">
        <f>IF(AND(F74&gt;=800000,F74&lt;=1200000),"Yes","No")</f>
        <v>62</v>
      </c>
      <c r="N74" t="s" s="68">
        <v>282</v>
      </c>
      <c r="O74" t="s" s="68">
        <v>276</v>
      </c>
      <c r="P74" t="s" s="62">
        <v>59</v>
      </c>
      <c r="Q74" s="69">
        <v>46282</v>
      </c>
      <c r="R74" s="70"/>
    </row>
    <row r="75" ht="13.65" customHeight="1">
      <c r="A75" t="s" s="71">
        <v>283</v>
      </c>
      <c r="B75" t="s" s="72">
        <v>284</v>
      </c>
      <c r="C75" t="s" s="73">
        <v>17</v>
      </c>
      <c r="D75" t="s" s="73">
        <v>53</v>
      </c>
      <c r="E75" t="s" s="73">
        <v>274</v>
      </c>
      <c r="F75" s="74">
        <v>935000</v>
      </c>
      <c r="G75" s="75">
        <v>46256</v>
      </c>
      <c r="H75" s="76">
        <v>3</v>
      </c>
      <c r="I75" s="76">
        <v>1</v>
      </c>
      <c r="J75" s="76">
        <v>1</v>
      </c>
      <c r="K75" s="77"/>
      <c r="L75" t="s" s="73">
        <v>55</v>
      </c>
      <c r="M75" t="s" s="73">
        <f>IF(AND(F75&gt;=800000,F75&lt;=1200000),"Yes","No")</f>
        <v>62</v>
      </c>
      <c r="N75" t="s" s="78">
        <v>285</v>
      </c>
      <c r="O75" t="s" s="78">
        <v>276</v>
      </c>
      <c r="P75" t="s" s="72">
        <v>59</v>
      </c>
      <c r="Q75" s="79">
        <v>46282</v>
      </c>
      <c r="R75" s="70"/>
    </row>
    <row r="76" ht="13.65" customHeight="1">
      <c r="A76" t="s" s="61">
        <v>286</v>
      </c>
      <c r="B76" t="s" s="62">
        <v>287</v>
      </c>
      <c r="C76" t="s" s="63">
        <v>17</v>
      </c>
      <c r="D76" t="s" s="63">
        <v>53</v>
      </c>
      <c r="E76" t="s" s="63">
        <v>274</v>
      </c>
      <c r="F76" s="64">
        <v>870000</v>
      </c>
      <c r="G76" s="65">
        <v>46256</v>
      </c>
      <c r="H76" s="66">
        <v>3</v>
      </c>
      <c r="I76" s="66">
        <v>2</v>
      </c>
      <c r="J76" s="66">
        <v>1</v>
      </c>
      <c r="K76" s="67"/>
      <c r="L76" t="s" s="63">
        <v>55</v>
      </c>
      <c r="M76" t="s" s="63">
        <f>IF(AND(F76&gt;=800000,F76&lt;=1200000),"Yes","No")</f>
        <v>62</v>
      </c>
      <c r="N76" t="s" s="68">
        <v>288</v>
      </c>
      <c r="O76" t="s" s="68">
        <v>276</v>
      </c>
      <c r="P76" t="s" s="62">
        <v>59</v>
      </c>
      <c r="Q76" s="69">
        <v>46282</v>
      </c>
      <c r="R76" s="70"/>
    </row>
    <row r="77" ht="13.65" customHeight="1">
      <c r="A77" t="s" s="71">
        <v>289</v>
      </c>
      <c r="B77" t="s" s="72">
        <v>290</v>
      </c>
      <c r="C77" t="s" s="73">
        <v>17</v>
      </c>
      <c r="D77" t="s" s="73">
        <v>53</v>
      </c>
      <c r="E77" t="s" s="73">
        <v>274</v>
      </c>
      <c r="F77" s="74">
        <v>960000</v>
      </c>
      <c r="G77" s="75">
        <v>46237</v>
      </c>
      <c r="H77" s="76">
        <v>3</v>
      </c>
      <c r="I77" s="76">
        <v>1</v>
      </c>
      <c r="J77" s="76">
        <v>1</v>
      </c>
      <c r="K77" s="77">
        <v>557.4</v>
      </c>
      <c r="L77" t="s" s="73">
        <v>55</v>
      </c>
      <c r="M77" t="s" s="73">
        <f>IF(AND(F77&gt;=800000,F77&lt;=1200000),"Yes","No")</f>
        <v>62</v>
      </c>
      <c r="N77" t="s" s="78">
        <v>291</v>
      </c>
      <c r="O77" t="s" s="78">
        <v>276</v>
      </c>
      <c r="P77" t="s" s="72">
        <v>59</v>
      </c>
      <c r="Q77" s="79">
        <v>46282</v>
      </c>
      <c r="R77" s="70"/>
    </row>
    <row r="78" ht="13.65" customHeight="1">
      <c r="A78" t="s" s="61">
        <v>292</v>
      </c>
      <c r="B78" t="s" s="62">
        <v>293</v>
      </c>
      <c r="C78" t="s" s="63">
        <v>17</v>
      </c>
      <c r="D78" t="s" s="63">
        <v>53</v>
      </c>
      <c r="E78" t="s" s="63">
        <v>274</v>
      </c>
      <c r="F78" s="64">
        <v>976000</v>
      </c>
      <c r="G78" s="65">
        <v>46228</v>
      </c>
      <c r="H78" s="66">
        <v>3</v>
      </c>
      <c r="I78" s="66">
        <v>1</v>
      </c>
      <c r="J78" s="66">
        <v>2</v>
      </c>
      <c r="K78" s="67">
        <v>450</v>
      </c>
      <c r="L78" t="s" s="63">
        <v>55</v>
      </c>
      <c r="M78" t="s" s="63">
        <f>IF(AND(F78&gt;=800000,F78&lt;=1200000),"Yes","No")</f>
        <v>62</v>
      </c>
      <c r="N78" t="s" s="68">
        <v>294</v>
      </c>
      <c r="O78" t="s" s="68">
        <v>276</v>
      </c>
      <c r="P78" t="s" s="62">
        <v>59</v>
      </c>
      <c r="Q78" s="69">
        <v>46282</v>
      </c>
      <c r="R78" s="70"/>
    </row>
    <row r="79" ht="13.65" customHeight="1">
      <c r="A79" t="s" s="71">
        <v>295</v>
      </c>
      <c r="B79" t="s" s="72">
        <v>296</v>
      </c>
      <c r="C79" t="s" s="73">
        <v>17</v>
      </c>
      <c r="D79" t="s" s="73">
        <v>53</v>
      </c>
      <c r="E79" t="s" s="73">
        <v>274</v>
      </c>
      <c r="F79" s="74">
        <v>3100000</v>
      </c>
      <c r="G79" s="75">
        <v>46223</v>
      </c>
      <c r="H79" s="76">
        <v>24</v>
      </c>
      <c r="I79" s="76">
        <v>14</v>
      </c>
      <c r="J79" s="76">
        <v>6</v>
      </c>
      <c r="K79" s="77">
        <v>1358</v>
      </c>
      <c r="L79" t="s" s="73">
        <v>55</v>
      </c>
      <c r="M79" t="s" s="73">
        <f>IF(AND(F79&gt;=800000,F79&lt;=1200000),"Yes","No")</f>
        <v>56</v>
      </c>
      <c r="N79" t="s" s="78">
        <v>297</v>
      </c>
      <c r="O79" t="s" s="78">
        <v>276</v>
      </c>
      <c r="P79" t="s" s="72">
        <v>59</v>
      </c>
      <c r="Q79" s="79">
        <v>46282</v>
      </c>
      <c r="R79" s="70"/>
    </row>
    <row r="80" ht="13.65" customHeight="1">
      <c r="A80" t="s" s="61">
        <v>298</v>
      </c>
      <c r="B80" t="s" s="62">
        <v>299</v>
      </c>
      <c r="C80" t="s" s="63">
        <v>17</v>
      </c>
      <c r="D80" t="s" s="63">
        <v>53</v>
      </c>
      <c r="E80" t="s" s="63">
        <v>274</v>
      </c>
      <c r="F80" s="64">
        <v>1270000</v>
      </c>
      <c r="G80" s="65">
        <v>46217</v>
      </c>
      <c r="H80" s="66">
        <v>4</v>
      </c>
      <c r="I80" s="66">
        <v>1</v>
      </c>
      <c r="J80" s="66">
        <v>3</v>
      </c>
      <c r="K80" s="67">
        <v>652</v>
      </c>
      <c r="L80" t="s" s="63">
        <v>55</v>
      </c>
      <c r="M80" t="s" s="63">
        <f>IF(AND(F80&gt;=800000,F80&lt;=1200000),"Yes","No")</f>
        <v>56</v>
      </c>
      <c r="N80" t="s" s="68">
        <v>300</v>
      </c>
      <c r="O80" t="s" s="68">
        <v>276</v>
      </c>
      <c r="P80" t="s" s="62">
        <v>59</v>
      </c>
      <c r="Q80" s="69">
        <v>46282</v>
      </c>
      <c r="R80" s="70"/>
    </row>
    <row r="81" ht="13.65" customHeight="1">
      <c r="A81" t="s" s="71">
        <v>301</v>
      </c>
      <c r="B81" t="s" s="72">
        <v>302</v>
      </c>
      <c r="C81" t="s" s="73">
        <v>17</v>
      </c>
      <c r="D81" t="s" s="73">
        <v>53</v>
      </c>
      <c r="E81" t="s" s="73">
        <v>274</v>
      </c>
      <c r="F81" s="74">
        <v>1083000</v>
      </c>
      <c r="G81" s="75">
        <v>46211</v>
      </c>
      <c r="H81" s="76">
        <v>4</v>
      </c>
      <c r="I81" s="76">
        <v>1</v>
      </c>
      <c r="J81" s="76">
        <v>1</v>
      </c>
      <c r="K81" s="77">
        <v>727</v>
      </c>
      <c r="L81" t="s" s="73">
        <v>55</v>
      </c>
      <c r="M81" t="s" s="73">
        <f>IF(AND(F81&gt;=800000,F81&lt;=1200000),"Yes","No")</f>
        <v>62</v>
      </c>
      <c r="N81" t="s" s="78">
        <v>303</v>
      </c>
      <c r="O81" t="s" s="78">
        <v>276</v>
      </c>
      <c r="P81" t="s" s="72">
        <v>59</v>
      </c>
      <c r="Q81" s="79">
        <v>46282</v>
      </c>
      <c r="R81" s="70"/>
    </row>
    <row r="82" ht="13.65" customHeight="1">
      <c r="A82" t="s" s="61">
        <v>304</v>
      </c>
      <c r="B82" t="s" s="62">
        <v>305</v>
      </c>
      <c r="C82" t="s" s="63">
        <v>17</v>
      </c>
      <c r="D82" t="s" s="63">
        <v>53</v>
      </c>
      <c r="E82" t="s" s="63">
        <v>274</v>
      </c>
      <c r="F82" s="64">
        <v>1090000</v>
      </c>
      <c r="G82" s="65">
        <v>46182</v>
      </c>
      <c r="H82" s="66">
        <v>3</v>
      </c>
      <c r="I82" s="66">
        <v>1</v>
      </c>
      <c r="J82" s="66">
        <v>4</v>
      </c>
      <c r="K82" s="67">
        <v>664</v>
      </c>
      <c r="L82" t="s" s="63">
        <v>55</v>
      </c>
      <c r="M82" t="s" s="63">
        <f>IF(AND(F82&gt;=800000,F82&lt;=1200000),"Yes","No")</f>
        <v>62</v>
      </c>
      <c r="N82" t="s" s="68">
        <v>306</v>
      </c>
      <c r="O82" t="s" s="68">
        <v>276</v>
      </c>
      <c r="P82" t="s" s="62">
        <v>59</v>
      </c>
      <c r="Q82" s="69">
        <v>46282</v>
      </c>
      <c r="R82" s="70"/>
    </row>
    <row r="83" ht="13.65" customHeight="1">
      <c r="A83" t="s" s="71">
        <v>307</v>
      </c>
      <c r="B83" t="s" s="72">
        <v>308</v>
      </c>
      <c r="C83" t="s" s="73">
        <v>17</v>
      </c>
      <c r="D83" t="s" s="73">
        <v>53</v>
      </c>
      <c r="E83" t="s" s="73">
        <v>274</v>
      </c>
      <c r="F83" s="74">
        <v>560000</v>
      </c>
      <c r="G83" s="75">
        <v>46182</v>
      </c>
      <c r="H83" s="76">
        <v>2</v>
      </c>
      <c r="I83" s="76">
        <v>2</v>
      </c>
      <c r="J83" s="76">
        <v>1</v>
      </c>
      <c r="K83" s="77"/>
      <c r="L83" t="s" s="73">
        <v>55</v>
      </c>
      <c r="M83" t="s" s="73">
        <f>IF(AND(F83&gt;=800000,F83&lt;=1200000),"Yes","No")</f>
        <v>56</v>
      </c>
      <c r="N83" t="s" s="78">
        <v>309</v>
      </c>
      <c r="O83" t="s" s="78">
        <v>276</v>
      </c>
      <c r="P83" t="s" s="72">
        <v>59</v>
      </c>
      <c r="Q83" s="79">
        <v>46282</v>
      </c>
      <c r="R83" s="70"/>
    </row>
    <row r="84" ht="13.65" customHeight="1">
      <c r="A84" t="s" s="61">
        <v>310</v>
      </c>
      <c r="B84" t="s" s="62">
        <v>311</v>
      </c>
      <c r="C84" t="s" s="63">
        <v>17</v>
      </c>
      <c r="D84" t="s" s="63">
        <v>53</v>
      </c>
      <c r="E84" t="s" s="63">
        <v>274</v>
      </c>
      <c r="F84" s="64">
        <v>1050000</v>
      </c>
      <c r="G84" s="65">
        <v>46179</v>
      </c>
      <c r="H84" s="66">
        <v>3</v>
      </c>
      <c r="I84" s="66">
        <v>1</v>
      </c>
      <c r="J84" s="66">
        <v>3</v>
      </c>
      <c r="K84" s="67">
        <v>510</v>
      </c>
      <c r="L84" t="s" s="63">
        <v>55</v>
      </c>
      <c r="M84" t="s" s="63">
        <f>IF(AND(F84&gt;=800000,F84&lt;=1200000),"Yes","No")</f>
        <v>62</v>
      </c>
      <c r="N84" t="s" s="68">
        <v>312</v>
      </c>
      <c r="O84" t="s" s="68">
        <v>276</v>
      </c>
      <c r="P84" t="s" s="62">
        <v>59</v>
      </c>
      <c r="Q84" s="69">
        <v>46282</v>
      </c>
      <c r="R84" s="70"/>
    </row>
    <row r="85" ht="13.65" customHeight="1">
      <c r="A85" t="s" s="71">
        <v>313</v>
      </c>
      <c r="B85" t="s" s="72">
        <v>314</v>
      </c>
      <c r="C85" t="s" s="73">
        <v>17</v>
      </c>
      <c r="D85" t="s" s="73">
        <v>53</v>
      </c>
      <c r="E85" t="s" s="73">
        <v>274</v>
      </c>
      <c r="F85" s="74">
        <v>1000000</v>
      </c>
      <c r="G85" s="75">
        <v>46179</v>
      </c>
      <c r="H85" s="76">
        <v>4</v>
      </c>
      <c r="I85" s="76">
        <v>3</v>
      </c>
      <c r="J85" s="76">
        <v>2</v>
      </c>
      <c r="K85" s="77"/>
      <c r="L85" t="s" s="73">
        <v>55</v>
      </c>
      <c r="M85" t="s" s="73">
        <f>IF(AND(F85&gt;=800000,F85&lt;=1200000),"Yes","No")</f>
        <v>62</v>
      </c>
      <c r="N85" t="s" s="78">
        <v>315</v>
      </c>
      <c r="O85" t="s" s="78">
        <v>276</v>
      </c>
      <c r="P85" t="s" s="72">
        <v>59</v>
      </c>
      <c r="Q85" s="79">
        <v>46282</v>
      </c>
      <c r="R85" s="70"/>
    </row>
    <row r="86" ht="13.65" customHeight="1">
      <c r="A86" t="s" s="61">
        <v>316</v>
      </c>
      <c r="B86" t="s" s="62">
        <v>317</v>
      </c>
      <c r="C86" t="s" s="63">
        <v>17</v>
      </c>
      <c r="D86" t="s" s="63">
        <v>53</v>
      </c>
      <c r="E86" t="s" s="63">
        <v>274</v>
      </c>
      <c r="F86" s="64">
        <v>1265000</v>
      </c>
      <c r="G86" s="65">
        <v>46175</v>
      </c>
      <c r="H86" s="66">
        <v>3</v>
      </c>
      <c r="I86" s="66">
        <v>1</v>
      </c>
      <c r="J86" s="66">
        <v>4</v>
      </c>
      <c r="K86" s="67">
        <v>657.7</v>
      </c>
      <c r="L86" t="s" s="63">
        <v>55</v>
      </c>
      <c r="M86" t="s" s="63">
        <f>IF(AND(F86&gt;=800000,F86&lt;=1200000),"Yes","No")</f>
        <v>56</v>
      </c>
      <c r="N86" t="s" s="68">
        <v>318</v>
      </c>
      <c r="O86" t="s" s="68">
        <v>276</v>
      </c>
      <c r="P86" t="s" s="62">
        <v>59</v>
      </c>
      <c r="Q86" s="69">
        <v>46282</v>
      </c>
      <c r="R86" s="70"/>
    </row>
    <row r="87" ht="13.65" customHeight="1">
      <c r="A87" t="s" s="71">
        <v>319</v>
      </c>
      <c r="B87" t="s" s="72">
        <v>320</v>
      </c>
      <c r="C87" t="s" s="73">
        <v>17</v>
      </c>
      <c r="D87" t="s" s="73">
        <v>53</v>
      </c>
      <c r="E87" t="s" s="73">
        <v>274</v>
      </c>
      <c r="F87" s="74">
        <v>1210000</v>
      </c>
      <c r="G87" s="75">
        <v>46174</v>
      </c>
      <c r="H87" s="76">
        <v>3</v>
      </c>
      <c r="I87" s="76">
        <v>1</v>
      </c>
      <c r="J87" s="76">
        <v>1</v>
      </c>
      <c r="K87" s="77">
        <v>537.5</v>
      </c>
      <c r="L87" t="s" s="73">
        <v>55</v>
      </c>
      <c r="M87" t="s" s="73">
        <f>IF(AND(F87&gt;=800000,F87&lt;=1200000),"Yes","No")</f>
        <v>56</v>
      </c>
      <c r="N87" t="s" s="78">
        <v>321</v>
      </c>
      <c r="O87" t="s" s="78">
        <v>276</v>
      </c>
      <c r="P87" t="s" s="72">
        <v>59</v>
      </c>
      <c r="Q87" s="79">
        <v>46282</v>
      </c>
      <c r="R87" s="70"/>
    </row>
    <row r="88" ht="13.65" customHeight="1">
      <c r="A88" t="s" s="61">
        <v>322</v>
      </c>
      <c r="B88" t="s" s="62">
        <v>323</v>
      </c>
      <c r="C88" t="s" s="63">
        <v>17</v>
      </c>
      <c r="D88" t="s" s="63">
        <v>53</v>
      </c>
      <c r="E88" t="s" s="63">
        <v>274</v>
      </c>
      <c r="F88" s="64">
        <v>1160000</v>
      </c>
      <c r="G88" s="65">
        <v>46174</v>
      </c>
      <c r="H88" s="66">
        <v>3</v>
      </c>
      <c r="I88" s="66">
        <v>1</v>
      </c>
      <c r="J88" s="66">
        <v>2</v>
      </c>
      <c r="K88" s="67">
        <v>559</v>
      </c>
      <c r="L88" t="s" s="63">
        <v>55</v>
      </c>
      <c r="M88" t="s" s="63">
        <f>IF(AND(F88&gt;=800000,F88&lt;=1200000),"Yes","No")</f>
        <v>62</v>
      </c>
      <c r="N88" t="s" s="68">
        <v>324</v>
      </c>
      <c r="O88" t="s" s="68">
        <v>276</v>
      </c>
      <c r="P88" t="s" s="62">
        <v>59</v>
      </c>
      <c r="Q88" s="69">
        <v>46282</v>
      </c>
      <c r="R88" s="70"/>
    </row>
    <row r="89" ht="13.65" customHeight="1">
      <c r="A89" t="s" s="71">
        <v>325</v>
      </c>
      <c r="B89" t="s" s="72">
        <v>326</v>
      </c>
      <c r="C89" t="s" s="73">
        <v>17</v>
      </c>
      <c r="D89" t="s" s="73">
        <v>53</v>
      </c>
      <c r="E89" t="s" s="73">
        <v>274</v>
      </c>
      <c r="F89" s="74">
        <v>1065000</v>
      </c>
      <c r="G89" s="75">
        <v>46163</v>
      </c>
      <c r="H89" s="76">
        <v>4</v>
      </c>
      <c r="I89" s="76">
        <v>2</v>
      </c>
      <c r="J89" s="76">
        <v>2</v>
      </c>
      <c r="K89" s="77"/>
      <c r="L89" t="s" s="73">
        <v>55</v>
      </c>
      <c r="M89" t="s" s="73">
        <f>IF(AND(F89&gt;=800000,F89&lt;=1200000),"Yes","No")</f>
        <v>62</v>
      </c>
      <c r="N89" t="s" s="78">
        <v>327</v>
      </c>
      <c r="O89" t="s" s="78">
        <v>276</v>
      </c>
      <c r="P89" t="s" s="72">
        <v>59</v>
      </c>
      <c r="Q89" s="79">
        <v>46282</v>
      </c>
      <c r="R89" s="70"/>
    </row>
    <row r="90" ht="13.65" customHeight="1">
      <c r="A90" t="s" s="61">
        <v>328</v>
      </c>
      <c r="B90" t="s" s="62">
        <v>329</v>
      </c>
      <c r="C90" t="s" s="63">
        <v>17</v>
      </c>
      <c r="D90" t="s" s="63">
        <v>53</v>
      </c>
      <c r="E90" t="s" s="63">
        <v>274</v>
      </c>
      <c r="F90" s="64">
        <v>390000</v>
      </c>
      <c r="G90" s="65">
        <v>46161</v>
      </c>
      <c r="H90" s="66">
        <v>2</v>
      </c>
      <c r="I90" s="66">
        <v>1</v>
      </c>
      <c r="J90" s="66">
        <v>1</v>
      </c>
      <c r="K90" s="67"/>
      <c r="L90" t="s" s="63">
        <v>55</v>
      </c>
      <c r="M90" t="s" s="63">
        <f>IF(AND(F90&gt;=800000,F90&lt;=1200000),"Yes","No")</f>
        <v>56</v>
      </c>
      <c r="N90" t="s" s="68">
        <v>330</v>
      </c>
      <c r="O90" t="s" s="68">
        <v>276</v>
      </c>
      <c r="P90" t="s" s="62">
        <v>59</v>
      </c>
      <c r="Q90" s="69">
        <v>46282</v>
      </c>
      <c r="R90" s="70"/>
    </row>
    <row r="91" ht="13.65" customHeight="1">
      <c r="A91" t="s" s="71">
        <v>331</v>
      </c>
      <c r="B91" t="s" s="72">
        <v>332</v>
      </c>
      <c r="C91" t="s" s="73">
        <v>17</v>
      </c>
      <c r="D91" t="s" s="73">
        <v>53</v>
      </c>
      <c r="E91" t="s" s="73">
        <v>274</v>
      </c>
      <c r="F91" s="74">
        <v>585000</v>
      </c>
      <c r="G91" s="75">
        <v>46160</v>
      </c>
      <c r="H91" s="76">
        <v>2</v>
      </c>
      <c r="I91" s="76">
        <v>2</v>
      </c>
      <c r="J91" s="76">
        <v>1</v>
      </c>
      <c r="K91" s="77"/>
      <c r="L91" t="s" s="73">
        <v>55</v>
      </c>
      <c r="M91" t="s" s="73">
        <f>IF(AND(F91&gt;=800000,F91&lt;=1200000),"Yes","No")</f>
        <v>56</v>
      </c>
      <c r="N91" t="s" s="78">
        <v>333</v>
      </c>
      <c r="O91" t="s" s="78">
        <v>276</v>
      </c>
      <c r="P91" t="s" s="72">
        <v>59</v>
      </c>
      <c r="Q91" s="79">
        <v>46282</v>
      </c>
      <c r="R91" s="70"/>
    </row>
    <row r="92" ht="13.65" customHeight="1">
      <c r="A92" t="s" s="61">
        <v>334</v>
      </c>
      <c r="B92" t="s" s="62">
        <v>335</v>
      </c>
      <c r="C92" t="s" s="63">
        <v>17</v>
      </c>
      <c r="D92" t="s" s="63">
        <v>53</v>
      </c>
      <c r="E92" t="s" s="63">
        <v>274</v>
      </c>
      <c r="F92" s="64">
        <v>1175000</v>
      </c>
      <c r="G92" s="65">
        <v>46150</v>
      </c>
      <c r="H92" s="66">
        <v>3</v>
      </c>
      <c r="I92" s="66">
        <v>3</v>
      </c>
      <c r="J92" s="66">
        <v>1</v>
      </c>
      <c r="K92" s="67"/>
      <c r="L92" t="s" s="63">
        <v>55</v>
      </c>
      <c r="M92" t="s" s="63">
        <f>IF(AND(F92&gt;=800000,F92&lt;=1200000),"Yes","No")</f>
        <v>62</v>
      </c>
      <c r="N92" t="s" s="68">
        <v>336</v>
      </c>
      <c r="O92" t="s" s="68">
        <v>276</v>
      </c>
      <c r="P92" t="s" s="62">
        <v>59</v>
      </c>
      <c r="Q92" s="69">
        <v>46282</v>
      </c>
      <c r="R92" s="70"/>
    </row>
    <row r="93" ht="13.65" customHeight="1">
      <c r="A93" t="s" s="71">
        <v>337</v>
      </c>
      <c r="B93" t="s" s="72">
        <v>338</v>
      </c>
      <c r="C93" t="s" s="73">
        <v>17</v>
      </c>
      <c r="D93" t="s" s="73">
        <v>53</v>
      </c>
      <c r="E93" t="s" s="73">
        <v>274</v>
      </c>
      <c r="F93" s="74">
        <v>1560000</v>
      </c>
      <c r="G93" s="75">
        <v>46146</v>
      </c>
      <c r="H93" s="76">
        <v>6</v>
      </c>
      <c r="I93" s="76">
        <v>2</v>
      </c>
      <c r="J93" s="76"/>
      <c r="K93" s="77">
        <v>699</v>
      </c>
      <c r="L93" t="s" s="73">
        <v>55</v>
      </c>
      <c r="M93" t="s" s="73">
        <f>IF(AND(F93&gt;=800000,F93&lt;=1200000),"Yes","No")</f>
        <v>56</v>
      </c>
      <c r="N93" t="s" s="78">
        <v>339</v>
      </c>
      <c r="O93" t="s" s="78">
        <v>276</v>
      </c>
      <c r="P93" t="s" s="72">
        <v>59</v>
      </c>
      <c r="Q93" s="79">
        <v>46282</v>
      </c>
      <c r="R93" s="70"/>
    </row>
    <row r="94" ht="13.65" customHeight="1">
      <c r="A94" t="s" s="61">
        <v>340</v>
      </c>
      <c r="B94" t="s" s="62">
        <v>341</v>
      </c>
      <c r="C94" t="s" s="63">
        <v>17</v>
      </c>
      <c r="D94" t="s" s="63">
        <v>53</v>
      </c>
      <c r="E94" t="s" s="63">
        <v>274</v>
      </c>
      <c r="F94" s="64">
        <v>1400000</v>
      </c>
      <c r="G94" s="65">
        <v>46146</v>
      </c>
      <c r="H94" s="66">
        <v>7</v>
      </c>
      <c r="I94" s="66">
        <v>2</v>
      </c>
      <c r="J94" s="66">
        <v>3</v>
      </c>
      <c r="K94" s="67">
        <v>636</v>
      </c>
      <c r="L94" t="s" s="63">
        <v>55</v>
      </c>
      <c r="M94" t="s" s="63">
        <f>IF(AND(F94&gt;=800000,F94&lt;=1200000),"Yes","No")</f>
        <v>56</v>
      </c>
      <c r="N94" t="s" s="68">
        <v>342</v>
      </c>
      <c r="O94" t="s" s="68">
        <v>276</v>
      </c>
      <c r="P94" t="s" s="62">
        <v>59</v>
      </c>
      <c r="Q94" s="69">
        <v>46282</v>
      </c>
      <c r="R94" s="70"/>
    </row>
    <row r="95" ht="13.65" customHeight="1">
      <c r="A95" t="s" s="71">
        <v>343</v>
      </c>
      <c r="B95" t="s" s="72">
        <v>344</v>
      </c>
      <c r="C95" t="s" s="73">
        <v>17</v>
      </c>
      <c r="D95" t="s" s="73">
        <v>53</v>
      </c>
      <c r="E95" t="s" s="73">
        <v>274</v>
      </c>
      <c r="F95" s="74">
        <v>1420000</v>
      </c>
      <c r="G95" s="75">
        <v>46144</v>
      </c>
      <c r="H95" s="76">
        <v>5</v>
      </c>
      <c r="I95" s="76">
        <v>3</v>
      </c>
      <c r="J95" s="76">
        <v>1</v>
      </c>
      <c r="K95" s="77">
        <v>330</v>
      </c>
      <c r="L95" t="s" s="73">
        <v>55</v>
      </c>
      <c r="M95" t="s" s="73">
        <f>IF(AND(F95&gt;=800000,F95&lt;=1200000),"Yes","No")</f>
        <v>56</v>
      </c>
      <c r="N95" t="s" s="78">
        <v>345</v>
      </c>
      <c r="O95" t="s" s="78">
        <v>276</v>
      </c>
      <c r="P95" t="s" s="72">
        <v>59</v>
      </c>
      <c r="Q95" s="79">
        <v>46282</v>
      </c>
      <c r="R95" s="70"/>
    </row>
    <row r="96" ht="13.65" customHeight="1">
      <c r="A96" t="s" s="61">
        <v>346</v>
      </c>
      <c r="B96" t="s" s="62">
        <v>347</v>
      </c>
      <c r="C96" t="s" s="63">
        <v>17</v>
      </c>
      <c r="D96" t="s" s="63">
        <v>53</v>
      </c>
      <c r="E96" t="s" s="63">
        <v>274</v>
      </c>
      <c r="F96" s="64">
        <v>735000</v>
      </c>
      <c r="G96" s="65">
        <v>46141</v>
      </c>
      <c r="H96" s="66">
        <v>2</v>
      </c>
      <c r="I96" s="66">
        <v>1</v>
      </c>
      <c r="J96" s="66">
        <v>1</v>
      </c>
      <c r="K96" s="67">
        <v>135</v>
      </c>
      <c r="L96" t="s" s="63">
        <v>55</v>
      </c>
      <c r="M96" t="s" s="63">
        <f>IF(AND(F96&gt;=800000,F96&lt;=1200000),"Yes","No")</f>
        <v>56</v>
      </c>
      <c r="N96" t="s" s="68">
        <v>348</v>
      </c>
      <c r="O96" t="s" s="68">
        <v>276</v>
      </c>
      <c r="P96" t="s" s="62">
        <v>59</v>
      </c>
      <c r="Q96" s="69">
        <v>46282</v>
      </c>
      <c r="R96" s="70"/>
    </row>
    <row r="97" ht="13.65" customHeight="1">
      <c r="A97" t="s" s="71">
        <v>349</v>
      </c>
      <c r="B97" t="s" s="72">
        <v>350</v>
      </c>
      <c r="C97" t="s" s="73">
        <v>17</v>
      </c>
      <c r="D97" t="s" s="73">
        <v>53</v>
      </c>
      <c r="E97" t="s" s="73">
        <v>274</v>
      </c>
      <c r="F97" s="74">
        <v>1270000</v>
      </c>
      <c r="G97" s="75">
        <v>46140</v>
      </c>
      <c r="H97" s="76">
        <v>4</v>
      </c>
      <c r="I97" s="76">
        <v>2</v>
      </c>
      <c r="J97" s="76">
        <v>2</v>
      </c>
      <c r="K97" s="77">
        <v>556.4</v>
      </c>
      <c r="L97" t="s" s="73">
        <v>55</v>
      </c>
      <c r="M97" t="s" s="73">
        <f>IF(AND(F97&gt;=800000,F97&lt;=1200000),"Yes","No")</f>
        <v>56</v>
      </c>
      <c r="N97" t="s" s="78">
        <v>351</v>
      </c>
      <c r="O97" t="s" s="78">
        <v>352</v>
      </c>
      <c r="P97" t="s" s="72">
        <v>59</v>
      </c>
      <c r="Q97" s="79">
        <v>46282</v>
      </c>
      <c r="R97" s="70"/>
    </row>
    <row r="98" ht="13.65" customHeight="1">
      <c r="A98" t="s" s="61">
        <v>353</v>
      </c>
      <c r="B98" t="s" s="62">
        <v>354</v>
      </c>
      <c r="C98" t="s" s="63">
        <v>17</v>
      </c>
      <c r="D98" t="s" s="63">
        <v>53</v>
      </c>
      <c r="E98" t="s" s="63">
        <v>274</v>
      </c>
      <c r="F98" s="64">
        <v>1125000</v>
      </c>
      <c r="G98" s="65">
        <v>46136</v>
      </c>
      <c r="H98" s="66">
        <v>4</v>
      </c>
      <c r="I98" s="66">
        <v>2</v>
      </c>
      <c r="J98" s="66">
        <v>2</v>
      </c>
      <c r="K98" s="67"/>
      <c r="L98" t="s" s="63">
        <v>55</v>
      </c>
      <c r="M98" t="s" s="63">
        <f>IF(AND(F98&gt;=800000,F98&lt;=1200000),"Yes","No")</f>
        <v>62</v>
      </c>
      <c r="N98" t="s" s="68">
        <v>355</v>
      </c>
      <c r="O98" t="s" s="68">
        <v>352</v>
      </c>
      <c r="P98" t="s" s="62">
        <v>59</v>
      </c>
      <c r="Q98" s="69">
        <v>46282</v>
      </c>
      <c r="R98" s="70"/>
    </row>
    <row r="99" ht="13.65" customHeight="1">
      <c r="A99" t="s" s="71">
        <v>356</v>
      </c>
      <c r="B99" t="s" s="72">
        <v>357</v>
      </c>
      <c r="C99" t="s" s="73">
        <v>17</v>
      </c>
      <c r="D99" t="s" s="73">
        <v>53</v>
      </c>
      <c r="E99" t="s" s="73">
        <v>274</v>
      </c>
      <c r="F99" s="74">
        <v>1030000</v>
      </c>
      <c r="G99" s="75">
        <v>46125</v>
      </c>
      <c r="H99" s="76">
        <v>3</v>
      </c>
      <c r="I99" s="76">
        <v>1</v>
      </c>
      <c r="J99" s="76">
        <v>2</v>
      </c>
      <c r="K99" s="77">
        <v>253</v>
      </c>
      <c r="L99" t="s" s="73">
        <v>55</v>
      </c>
      <c r="M99" t="s" s="73">
        <f>IF(AND(F99&gt;=800000,F99&lt;=1200000),"Yes","No")</f>
        <v>62</v>
      </c>
      <c r="N99" t="s" s="78">
        <v>358</v>
      </c>
      <c r="O99" t="s" s="78">
        <v>352</v>
      </c>
      <c r="P99" t="s" s="72">
        <v>59</v>
      </c>
      <c r="Q99" s="79">
        <v>46282</v>
      </c>
      <c r="R99" s="70"/>
    </row>
    <row r="100" ht="13.65" customHeight="1">
      <c r="A100" t="s" s="61">
        <v>359</v>
      </c>
      <c r="B100" t="s" s="62">
        <v>360</v>
      </c>
      <c r="C100" t="s" s="63">
        <v>17</v>
      </c>
      <c r="D100" t="s" s="63">
        <v>53</v>
      </c>
      <c r="E100" t="s" s="63">
        <v>274</v>
      </c>
      <c r="F100" s="64">
        <v>1505000</v>
      </c>
      <c r="G100" s="65">
        <v>46114</v>
      </c>
      <c r="H100" s="66">
        <v>3</v>
      </c>
      <c r="I100" s="66">
        <v>1</v>
      </c>
      <c r="J100" s="66">
        <v>1</v>
      </c>
      <c r="K100" s="67">
        <v>885.2</v>
      </c>
      <c r="L100" t="s" s="63">
        <v>55</v>
      </c>
      <c r="M100" t="s" s="63">
        <f>IF(AND(F100&gt;=800000,F100&lt;=1200000),"Yes","No")</f>
        <v>56</v>
      </c>
      <c r="N100" t="s" s="68">
        <v>361</v>
      </c>
      <c r="O100" t="s" s="68">
        <v>352</v>
      </c>
      <c r="P100" t="s" s="62">
        <v>59</v>
      </c>
      <c r="Q100" s="69">
        <v>46282</v>
      </c>
      <c r="R100" s="70"/>
    </row>
    <row r="101" ht="13.65" customHeight="1">
      <c r="A101" t="s" s="71">
        <v>362</v>
      </c>
      <c r="B101" t="s" s="72">
        <v>363</v>
      </c>
      <c r="C101" t="s" s="73">
        <v>17</v>
      </c>
      <c r="D101" t="s" s="73">
        <v>53</v>
      </c>
      <c r="E101" t="s" s="73">
        <v>274</v>
      </c>
      <c r="F101" s="74">
        <v>1732000</v>
      </c>
      <c r="G101" s="75">
        <v>46109</v>
      </c>
      <c r="H101" s="76">
        <v>5</v>
      </c>
      <c r="I101" s="76">
        <v>2</v>
      </c>
      <c r="J101" s="76">
        <v>2</v>
      </c>
      <c r="K101" s="77">
        <v>815</v>
      </c>
      <c r="L101" t="s" s="73">
        <v>55</v>
      </c>
      <c r="M101" t="s" s="73">
        <f>IF(AND(F101&gt;=800000,F101&lt;=1200000),"Yes","No")</f>
        <v>56</v>
      </c>
      <c r="N101" t="s" s="78">
        <v>364</v>
      </c>
      <c r="O101" t="s" s="78">
        <v>352</v>
      </c>
      <c r="P101" t="s" s="72">
        <v>59</v>
      </c>
      <c r="Q101" s="79">
        <v>46282</v>
      </c>
      <c r="R101" s="70"/>
    </row>
    <row r="102" ht="13.65" customHeight="1">
      <c r="A102" t="s" s="61">
        <v>365</v>
      </c>
      <c r="B102" t="s" s="62">
        <v>366</v>
      </c>
      <c r="C102" t="s" s="63">
        <v>17</v>
      </c>
      <c r="D102" t="s" s="63">
        <v>53</v>
      </c>
      <c r="E102" t="s" s="63">
        <v>274</v>
      </c>
      <c r="F102" s="64">
        <v>1100000</v>
      </c>
      <c r="G102" s="65">
        <v>46109</v>
      </c>
      <c r="H102" s="66">
        <v>3</v>
      </c>
      <c r="I102" s="66">
        <v>2</v>
      </c>
      <c r="J102" s="66">
        <v>3</v>
      </c>
      <c r="K102" s="67">
        <v>363.8</v>
      </c>
      <c r="L102" t="s" s="63">
        <v>55</v>
      </c>
      <c r="M102" t="s" s="63">
        <f>IF(AND(F102&gt;=800000,F102&lt;=1200000),"Yes","No")</f>
        <v>62</v>
      </c>
      <c r="N102" t="s" s="68">
        <v>367</v>
      </c>
      <c r="O102" t="s" s="68">
        <v>352</v>
      </c>
      <c r="P102" t="s" s="62">
        <v>59</v>
      </c>
      <c r="Q102" s="69">
        <v>46282</v>
      </c>
      <c r="R102" s="70"/>
    </row>
    <row r="103" ht="13.65" customHeight="1">
      <c r="A103" t="s" s="71">
        <v>368</v>
      </c>
      <c r="B103" t="s" s="72">
        <v>369</v>
      </c>
      <c r="C103" t="s" s="73">
        <v>17</v>
      </c>
      <c r="D103" t="s" s="73">
        <v>53</v>
      </c>
      <c r="E103" t="s" s="73">
        <v>274</v>
      </c>
      <c r="F103" s="74">
        <v>2250000</v>
      </c>
      <c r="G103" s="75">
        <v>46104</v>
      </c>
      <c r="H103" s="76">
        <v>7</v>
      </c>
      <c r="I103" s="76">
        <v>6</v>
      </c>
      <c r="J103" s="76">
        <v>4</v>
      </c>
      <c r="K103" s="77">
        <v>758.8</v>
      </c>
      <c r="L103" t="s" s="73">
        <v>55</v>
      </c>
      <c r="M103" t="s" s="73">
        <f>IF(AND(F103&gt;=800000,F103&lt;=1200000),"Yes","No")</f>
        <v>56</v>
      </c>
      <c r="N103" t="s" s="78">
        <v>370</v>
      </c>
      <c r="O103" t="s" s="78">
        <v>352</v>
      </c>
      <c r="P103" t="s" s="72">
        <v>59</v>
      </c>
      <c r="Q103" s="79">
        <v>46282</v>
      </c>
      <c r="R103" s="70"/>
    </row>
    <row r="104" ht="13.65" customHeight="1">
      <c r="A104" t="s" s="61">
        <v>371</v>
      </c>
      <c r="B104" t="s" s="62">
        <v>372</v>
      </c>
      <c r="C104" t="s" s="63">
        <v>17</v>
      </c>
      <c r="D104" t="s" s="63">
        <v>53</v>
      </c>
      <c r="E104" t="s" s="63">
        <v>274</v>
      </c>
      <c r="F104" s="64">
        <v>1190000</v>
      </c>
      <c r="G104" s="65">
        <v>46104</v>
      </c>
      <c r="H104" s="66">
        <v>3</v>
      </c>
      <c r="I104" s="66">
        <v>1</v>
      </c>
      <c r="J104" s="66">
        <v>1</v>
      </c>
      <c r="K104" s="67">
        <v>674</v>
      </c>
      <c r="L104" t="s" s="63">
        <v>55</v>
      </c>
      <c r="M104" t="s" s="63">
        <f>IF(AND(F104&gt;=800000,F104&lt;=1200000),"Yes","No")</f>
        <v>62</v>
      </c>
      <c r="N104" t="s" s="68">
        <v>373</v>
      </c>
      <c r="O104" t="s" s="68">
        <v>352</v>
      </c>
      <c r="P104" t="s" s="62">
        <v>59</v>
      </c>
      <c r="Q104" s="69">
        <v>46282</v>
      </c>
      <c r="R104" s="70"/>
    </row>
    <row r="105" ht="13.65" customHeight="1">
      <c r="A105" t="s" s="71">
        <v>374</v>
      </c>
      <c r="B105" t="s" s="72">
        <v>375</v>
      </c>
      <c r="C105" t="s" s="73">
        <v>17</v>
      </c>
      <c r="D105" t="s" s="73">
        <v>53</v>
      </c>
      <c r="E105" t="s" s="73">
        <v>274</v>
      </c>
      <c r="F105" s="74">
        <v>1550000</v>
      </c>
      <c r="G105" s="75">
        <v>46102</v>
      </c>
      <c r="H105" s="76">
        <v>6</v>
      </c>
      <c r="I105" s="76">
        <v>3</v>
      </c>
      <c r="J105" s="76">
        <v>2</v>
      </c>
      <c r="K105" s="77">
        <v>728</v>
      </c>
      <c r="L105" t="s" s="73">
        <v>55</v>
      </c>
      <c r="M105" t="s" s="73">
        <f>IF(AND(F105&gt;=800000,F105&lt;=1200000),"Yes","No")</f>
        <v>56</v>
      </c>
      <c r="N105" t="s" s="78">
        <v>376</v>
      </c>
      <c r="O105" t="s" s="78">
        <v>352</v>
      </c>
      <c r="P105" t="s" s="72">
        <v>59</v>
      </c>
      <c r="Q105" s="79">
        <v>46282</v>
      </c>
      <c r="R105" s="70"/>
    </row>
    <row r="106" ht="13.65" customHeight="1">
      <c r="A106" t="s" s="61">
        <v>377</v>
      </c>
      <c r="B106" t="s" s="62">
        <v>378</v>
      </c>
      <c r="C106" t="s" s="63">
        <v>17</v>
      </c>
      <c r="D106" t="s" s="63">
        <v>53</v>
      </c>
      <c r="E106" t="s" s="63">
        <v>274</v>
      </c>
      <c r="F106" s="64">
        <v>945000</v>
      </c>
      <c r="G106" s="65">
        <v>46095</v>
      </c>
      <c r="H106" s="66">
        <v>3</v>
      </c>
      <c r="I106" s="66">
        <v>2</v>
      </c>
      <c r="J106" s="66">
        <v>2</v>
      </c>
      <c r="K106" s="67"/>
      <c r="L106" t="s" s="63">
        <v>55</v>
      </c>
      <c r="M106" t="s" s="63">
        <f>IF(AND(F106&gt;=800000,F106&lt;=1200000),"Yes","No")</f>
        <v>62</v>
      </c>
      <c r="N106" t="s" s="68">
        <v>379</v>
      </c>
      <c r="O106" t="s" s="68">
        <v>352</v>
      </c>
      <c r="P106" t="s" s="62">
        <v>59</v>
      </c>
      <c r="Q106" s="69">
        <v>46282</v>
      </c>
      <c r="R106" s="70"/>
    </row>
    <row r="107" ht="13.55" customHeight="1">
      <c r="A107" s="80"/>
      <c r="B107" s="81"/>
      <c r="C107" s="81"/>
      <c r="D107" s="81"/>
      <c r="E107" s="81"/>
      <c r="F107" s="81"/>
      <c r="G107" s="81"/>
      <c r="H107" s="81"/>
      <c r="I107" s="81"/>
      <c r="J107" s="81"/>
      <c r="K107" s="81"/>
      <c r="L107" s="81"/>
      <c r="M107" s="81"/>
      <c r="N107" s="81"/>
      <c r="O107" s="81"/>
      <c r="P107" s="81"/>
      <c r="Q107" s="81"/>
      <c r="R107" s="8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